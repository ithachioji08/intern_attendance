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PTインターン\"/>
    </mc:Choice>
  </mc:AlternateContent>
  <xr:revisionPtr revIDLastSave="0" documentId="13_ncr:1_{F712BA9F-8EF6-4D64-A1F3-437D5CBE6202}" xr6:coauthVersionLast="47" xr6:coauthVersionMax="47" xr10:uidLastSave="{00000000-0000-0000-0000-000000000000}"/>
  <bookViews>
    <workbookView xWindow="420" yWindow="300" windowWidth="20904" windowHeight="11292" xr2:uid="{C68CD064-B3C7-480F-9DDF-FEC4ECEBFE12}"/>
  </bookViews>
  <sheets>
    <sheet name="Sheet1" sheetId="1" r:id="rId1"/>
  </sheets>
  <definedNames>
    <definedName name="_xlnm._FilterDatabase" localSheetId="0" hidden="1">Sheet1!$A$3:$A$4</definedName>
    <definedName name="_xlnm.Print_Area" localSheetId="0">Sheet1!$A$2:$M$71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1" i="1" l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1" i="1"/>
  <c r="C10" i="1"/>
  <c r="C13" i="1"/>
  <c r="C12" i="1"/>
  <c r="C15" i="1"/>
  <c r="W15" i="1" s="1"/>
  <c r="C14" i="1"/>
  <c r="C17" i="1"/>
  <c r="C16" i="1"/>
  <c r="C18" i="1"/>
  <c r="B71" i="1"/>
  <c r="B69" i="1"/>
  <c r="B67" i="1"/>
  <c r="B65" i="1"/>
  <c r="B63" i="1"/>
  <c r="B61" i="1"/>
  <c r="B59" i="1"/>
  <c r="B57" i="1"/>
  <c r="B55" i="1"/>
  <c r="B53" i="1"/>
  <c r="B51" i="1"/>
  <c r="B49" i="1"/>
  <c r="B47" i="1"/>
  <c r="B45" i="1"/>
  <c r="B43" i="1"/>
  <c r="B41" i="1"/>
  <c r="B39" i="1"/>
  <c r="B37" i="1"/>
  <c r="B35" i="1"/>
  <c r="B33" i="1"/>
  <c r="B31" i="1"/>
  <c r="B29" i="1"/>
  <c r="B27" i="1"/>
  <c r="B25" i="1"/>
  <c r="B23" i="1"/>
  <c r="B21" i="1"/>
  <c r="C19" i="1"/>
  <c r="B19" i="1"/>
  <c r="B17" i="1"/>
  <c r="X13" i="1"/>
  <c r="W11" i="1"/>
  <c r="W10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8" i="1"/>
  <c r="Q17" i="1"/>
  <c r="Q16" i="1"/>
  <c r="Q15" i="1"/>
  <c r="Q14" i="1"/>
  <c r="Q12" i="1"/>
  <c r="Q11" i="1"/>
  <c r="Q10" i="1"/>
  <c r="Q6" i="1"/>
  <c r="Q7" i="1"/>
  <c r="F4" i="1"/>
  <c r="A2" i="1"/>
  <c r="E70" i="1"/>
  <c r="E68" i="1"/>
  <c r="E66" i="1"/>
  <c r="E64" i="1"/>
  <c r="E62" i="1"/>
  <c r="E60" i="1"/>
  <c r="E58" i="1"/>
  <c r="E56" i="1"/>
  <c r="E54" i="1"/>
  <c r="E52" i="1"/>
  <c r="E50" i="1"/>
  <c r="E48" i="1"/>
  <c r="E46" i="1"/>
  <c r="E44" i="1"/>
  <c r="E42" i="1"/>
  <c r="E40" i="1"/>
  <c r="E38" i="1"/>
  <c r="E36" i="1"/>
  <c r="E34" i="1"/>
  <c r="E32" i="1"/>
  <c r="E30" i="1"/>
  <c r="E28" i="1"/>
  <c r="E26" i="1"/>
  <c r="E24" i="1"/>
  <c r="E22" i="1"/>
  <c r="E20" i="1"/>
  <c r="E18" i="1"/>
  <c r="E16" i="1"/>
  <c r="E14" i="1"/>
  <c r="E12" i="1"/>
  <c r="E10" i="1"/>
  <c r="A70" i="1"/>
  <c r="A71" i="1" s="1"/>
  <c r="A68" i="1"/>
  <c r="A69" i="1" s="1"/>
  <c r="A66" i="1"/>
  <c r="V66" i="1" s="1"/>
  <c r="Z67" i="1" s="1"/>
  <c r="A64" i="1"/>
  <c r="A65" i="1" s="1"/>
  <c r="A62" i="1"/>
  <c r="A60" i="1"/>
  <c r="A61" i="1" s="1"/>
  <c r="A58" i="1"/>
  <c r="A59" i="1" s="1"/>
  <c r="A56" i="1"/>
  <c r="A57" i="1" s="1"/>
  <c r="A54" i="1"/>
  <c r="A55" i="1" s="1"/>
  <c r="A52" i="1"/>
  <c r="A53" i="1" s="1"/>
  <c r="A50" i="1"/>
  <c r="A51" i="1" s="1"/>
  <c r="A48" i="1"/>
  <c r="A49" i="1" s="1"/>
  <c r="A46" i="1"/>
  <c r="A44" i="1"/>
  <c r="A45" i="1" s="1"/>
  <c r="A42" i="1"/>
  <c r="A43" i="1" s="1"/>
  <c r="A40" i="1"/>
  <c r="A41" i="1" s="1"/>
  <c r="A38" i="1"/>
  <c r="A39" i="1" s="1"/>
  <c r="A36" i="1"/>
  <c r="A37" i="1" s="1"/>
  <c r="A34" i="1"/>
  <c r="A35" i="1" s="1"/>
  <c r="A32" i="1"/>
  <c r="A33" i="1" s="1"/>
  <c r="A30" i="1"/>
  <c r="A31" i="1" s="1"/>
  <c r="A28" i="1"/>
  <c r="A29" i="1" s="1"/>
  <c r="A26" i="1"/>
  <c r="A27" i="1" s="1"/>
  <c r="A24" i="1"/>
  <c r="A25" i="1" s="1"/>
  <c r="A22" i="1"/>
  <c r="A23" i="1" s="1"/>
  <c r="A20" i="1"/>
  <c r="A21" i="1" s="1"/>
  <c r="A18" i="1"/>
  <c r="A19" i="1" s="1"/>
  <c r="A16" i="1"/>
  <c r="A17" i="1" s="1"/>
  <c r="A14" i="1"/>
  <c r="A15" i="1" s="1"/>
  <c r="A12" i="1"/>
  <c r="A13" i="1" s="1"/>
  <c r="A10" i="1"/>
  <c r="A11" i="1" s="1"/>
  <c r="W13" i="1" l="1"/>
  <c r="Y66" i="1"/>
  <c r="Z66" i="1"/>
  <c r="Y67" i="1"/>
  <c r="B20" i="1"/>
  <c r="B26" i="1"/>
  <c r="B14" i="1"/>
  <c r="B24" i="1"/>
  <c r="B28" i="1"/>
  <c r="B56" i="1"/>
  <c r="B34" i="1"/>
  <c r="V36" i="1"/>
  <c r="B48" i="1"/>
  <c r="A67" i="1"/>
  <c r="B50" i="1"/>
  <c r="V60" i="1"/>
  <c r="V62" i="1"/>
  <c r="B58" i="1"/>
  <c r="A63" i="1"/>
  <c r="V38" i="1"/>
  <c r="V68" i="1"/>
  <c r="B60" i="1"/>
  <c r="V70" i="1"/>
  <c r="B64" i="1"/>
  <c r="B32" i="1"/>
  <c r="V30" i="1"/>
  <c r="V32" i="1"/>
  <c r="B66" i="1"/>
  <c r="W66" i="1" s="1"/>
  <c r="W67" i="1"/>
  <c r="B40" i="1"/>
  <c r="V42" i="1"/>
  <c r="V46" i="1"/>
  <c r="V48" i="1"/>
  <c r="V22" i="1"/>
  <c r="V54" i="1"/>
  <c r="V10" i="1"/>
  <c r="V14" i="1"/>
  <c r="V50" i="1"/>
  <c r="B52" i="1"/>
  <c r="V24" i="1"/>
  <c r="V56" i="1"/>
  <c r="A47" i="1"/>
  <c r="V12" i="1"/>
  <c r="B16" i="1"/>
  <c r="B42" i="1"/>
  <c r="V18" i="1"/>
  <c r="V20" i="1"/>
  <c r="B18" i="1"/>
  <c r="B68" i="1"/>
  <c r="V26" i="1"/>
  <c r="V58" i="1"/>
  <c r="V44" i="1"/>
  <c r="V16" i="1"/>
  <c r="V52" i="1"/>
  <c r="B10" i="1"/>
  <c r="B36" i="1"/>
  <c r="B44" i="1"/>
  <c r="V28" i="1"/>
  <c r="B12" i="1"/>
  <c r="B22" i="1"/>
  <c r="B30" i="1"/>
  <c r="B38" i="1"/>
  <c r="B46" i="1"/>
  <c r="B54" i="1"/>
  <c r="B62" i="1"/>
  <c r="B70" i="1"/>
  <c r="V40" i="1"/>
  <c r="V64" i="1"/>
  <c r="V34" i="1"/>
  <c r="X67" i="1" l="1"/>
  <c r="Z25" i="1"/>
  <c r="Y25" i="1"/>
  <c r="Z24" i="1"/>
  <c r="Y24" i="1"/>
  <c r="X24" i="1"/>
  <c r="W24" i="1"/>
  <c r="X47" i="1"/>
  <c r="W47" i="1"/>
  <c r="Z46" i="1"/>
  <c r="Y46" i="1"/>
  <c r="X46" i="1"/>
  <c r="W46" i="1"/>
  <c r="X31" i="1"/>
  <c r="W31" i="1"/>
  <c r="Z30" i="1"/>
  <c r="Y30" i="1"/>
  <c r="X30" i="1"/>
  <c r="W30" i="1"/>
  <c r="Z39" i="1"/>
  <c r="Y39" i="1"/>
  <c r="Z38" i="1"/>
  <c r="Y38" i="1"/>
  <c r="X38" i="1"/>
  <c r="W38" i="1"/>
  <c r="Z33" i="1"/>
  <c r="X33" i="1"/>
  <c r="W33" i="1"/>
  <c r="Z32" i="1"/>
  <c r="Y32" i="1"/>
  <c r="X32" i="1"/>
  <c r="W32" i="1"/>
  <c r="Z21" i="1"/>
  <c r="Y21" i="1"/>
  <c r="Z20" i="1"/>
  <c r="Y20" i="1"/>
  <c r="X20" i="1"/>
  <c r="Z43" i="1"/>
  <c r="Y43" i="1"/>
  <c r="Z42" i="1"/>
  <c r="Y42" i="1"/>
  <c r="X42" i="1"/>
  <c r="W42" i="1"/>
  <c r="Z63" i="1"/>
  <c r="Y63" i="1"/>
  <c r="Z62" i="1"/>
  <c r="Y62" i="1"/>
  <c r="X62" i="1"/>
  <c r="W62" i="1"/>
  <c r="Y65" i="1"/>
  <c r="Z64" i="1"/>
  <c r="Y64" i="1"/>
  <c r="X64" i="1"/>
  <c r="W64" i="1"/>
  <c r="Z41" i="1"/>
  <c r="Y41" i="1"/>
  <c r="Z40" i="1"/>
  <c r="Y40" i="1"/>
  <c r="X40" i="1"/>
  <c r="W40" i="1"/>
  <c r="X59" i="1"/>
  <c r="W59" i="1"/>
  <c r="Z58" i="1"/>
  <c r="Y58" i="1"/>
  <c r="X58" i="1"/>
  <c r="W58" i="1"/>
  <c r="Z55" i="1"/>
  <c r="Y55" i="1"/>
  <c r="Z54" i="1"/>
  <c r="Y54" i="1"/>
  <c r="X54" i="1"/>
  <c r="W54" i="1"/>
  <c r="Z69" i="1"/>
  <c r="Y69" i="1"/>
  <c r="Z68" i="1"/>
  <c r="Y68" i="1"/>
  <c r="X68" i="1"/>
  <c r="W68" i="1"/>
  <c r="Z27" i="1"/>
  <c r="Y27" i="1"/>
  <c r="Z26" i="1"/>
  <c r="Y26" i="1"/>
  <c r="X26" i="1"/>
  <c r="W26" i="1"/>
  <c r="Z37" i="1"/>
  <c r="Y37" i="1"/>
  <c r="Z36" i="1"/>
  <c r="Y36" i="1"/>
  <c r="X36" i="1"/>
  <c r="W36" i="1"/>
  <c r="Z57" i="1"/>
  <c r="Y57" i="1"/>
  <c r="Z56" i="1"/>
  <c r="Y56" i="1"/>
  <c r="X56" i="1"/>
  <c r="W56" i="1"/>
  <c r="Z53" i="1"/>
  <c r="Y53" i="1"/>
  <c r="Z52" i="1"/>
  <c r="Y52" i="1"/>
  <c r="X52" i="1"/>
  <c r="W52" i="1"/>
  <c r="X19" i="1"/>
  <c r="W19" i="1"/>
  <c r="Z18" i="1"/>
  <c r="Y18" i="1"/>
  <c r="X18" i="1"/>
  <c r="W18" i="1"/>
  <c r="X51" i="1"/>
  <c r="Z51" i="1"/>
  <c r="Y51" i="1"/>
  <c r="Z50" i="1"/>
  <c r="Y50" i="1"/>
  <c r="X50" i="1"/>
  <c r="W50" i="1"/>
  <c r="Z61" i="1"/>
  <c r="X61" i="1"/>
  <c r="W61" i="1"/>
  <c r="Z60" i="1"/>
  <c r="Y60" i="1"/>
  <c r="X60" i="1"/>
  <c r="W60" i="1"/>
  <c r="Z12" i="1"/>
  <c r="Y12" i="1"/>
  <c r="X12" i="1"/>
  <c r="W12" i="1"/>
  <c r="Z13" i="1"/>
  <c r="Y13" i="1"/>
  <c r="Z29" i="1"/>
  <c r="Y29" i="1"/>
  <c r="Z28" i="1"/>
  <c r="Y28" i="1"/>
  <c r="X28" i="1"/>
  <c r="W28" i="1"/>
  <c r="Z23" i="1"/>
  <c r="Y23" i="1"/>
  <c r="Z22" i="1"/>
  <c r="Y22" i="1"/>
  <c r="X22" i="1"/>
  <c r="W22" i="1"/>
  <c r="Z49" i="1"/>
  <c r="Y49" i="1"/>
  <c r="Z48" i="1"/>
  <c r="Y48" i="1"/>
  <c r="X48" i="1"/>
  <c r="W48" i="1"/>
  <c r="Z35" i="1"/>
  <c r="Y35" i="1"/>
  <c r="Z34" i="1"/>
  <c r="Y34" i="1"/>
  <c r="X34" i="1"/>
  <c r="W34" i="1"/>
  <c r="X17" i="1"/>
  <c r="W17" i="1"/>
  <c r="Z16" i="1"/>
  <c r="Y16" i="1"/>
  <c r="X16" i="1"/>
  <c r="W16" i="1"/>
  <c r="Z15" i="1"/>
  <c r="Y15" i="1"/>
  <c r="Z14" i="1"/>
  <c r="Y14" i="1"/>
  <c r="Z71" i="1"/>
  <c r="Y71" i="1"/>
  <c r="Z70" i="1"/>
  <c r="Y70" i="1"/>
  <c r="X70" i="1"/>
  <c r="W70" i="1"/>
  <c r="X66" i="1"/>
  <c r="X45" i="1"/>
  <c r="W45" i="1"/>
  <c r="Z44" i="1"/>
  <c r="Y44" i="1"/>
  <c r="X44" i="1"/>
  <c r="W44" i="1"/>
  <c r="B11" i="1"/>
  <c r="X14" i="1"/>
  <c r="Z31" i="1"/>
  <c r="X37" i="1"/>
  <c r="Z17" i="1"/>
  <c r="X29" i="1"/>
  <c r="Z45" i="1"/>
  <c r="B13" i="1"/>
  <c r="Z47" i="1"/>
  <c r="X15" i="1"/>
  <c r="Y11" i="1"/>
  <c r="Z11" i="1"/>
  <c r="Z10" i="1"/>
  <c r="Y10" i="1"/>
  <c r="X10" i="1"/>
  <c r="W39" i="1"/>
  <c r="W23" i="1"/>
  <c r="X69" i="1"/>
  <c r="X63" i="1"/>
  <c r="W43" i="1"/>
  <c r="W21" i="1"/>
  <c r="X53" i="1"/>
  <c r="X71" i="1"/>
  <c r="X41" i="1"/>
  <c r="X49" i="1"/>
  <c r="X27" i="1"/>
  <c r="X57" i="1"/>
  <c r="Z19" i="1"/>
  <c r="X25" i="1"/>
  <c r="W20" i="1"/>
  <c r="X35" i="1"/>
  <c r="Z65" i="1"/>
  <c r="X65" i="1"/>
  <c r="B15" i="1"/>
  <c r="W14" i="1" s="1"/>
  <c r="Z59" i="1"/>
  <c r="X55" i="1"/>
  <c r="Y33" i="1" l="1"/>
  <c r="X21" i="1"/>
  <c r="Y59" i="1"/>
  <c r="W51" i="1"/>
  <c r="D50" i="1" s="1"/>
  <c r="D14" i="1"/>
  <c r="W29" i="1"/>
  <c r="Y61" i="1"/>
  <c r="X39" i="1"/>
  <c r="D38" i="1" s="1"/>
  <c r="W35" i="1"/>
  <c r="D34" i="1" s="1"/>
  <c r="X43" i="1"/>
  <c r="D42" i="1" s="1"/>
  <c r="X23" i="1"/>
  <c r="W71" i="1"/>
  <c r="Y17" i="1"/>
  <c r="AC26" i="1" s="1"/>
  <c r="W25" i="1"/>
  <c r="D24" i="1" s="1"/>
  <c r="Y45" i="1"/>
  <c r="D12" i="1"/>
  <c r="W53" i="1"/>
  <c r="D52" i="1" s="1"/>
  <c r="W57" i="1"/>
  <c r="D56" i="1" s="1"/>
  <c r="W37" i="1"/>
  <c r="D36" i="1" s="1"/>
  <c r="Y31" i="1"/>
  <c r="D30" i="1" s="1"/>
  <c r="W27" i="1"/>
  <c r="W69" i="1"/>
  <c r="D68" i="1" s="1"/>
  <c r="W55" i="1"/>
  <c r="D54" i="1" s="1"/>
  <c r="Y47" i="1"/>
  <c r="D46" i="1" s="1"/>
  <c r="W49" i="1"/>
  <c r="Y19" i="1"/>
  <c r="W41" i="1"/>
  <c r="D40" i="1" s="1"/>
  <c r="W65" i="1"/>
  <c r="W63" i="1"/>
  <c r="AD18" i="1"/>
  <c r="D62" i="1"/>
  <c r="D60" i="1"/>
  <c r="D66" i="1"/>
  <c r="D32" i="1"/>
  <c r="D22" i="1"/>
  <c r="AC30" i="1"/>
  <c r="AC16" i="1"/>
  <c r="AC10" i="1"/>
  <c r="AC12" i="1"/>
  <c r="AC14" i="1"/>
  <c r="AD14" i="1"/>
  <c r="AD12" i="1"/>
  <c r="AD10" i="1"/>
  <c r="D20" i="1"/>
  <c r="D26" i="1"/>
  <c r="D28" i="1"/>
  <c r="D70" i="1"/>
  <c r="X11" i="1"/>
  <c r="AA10" i="1"/>
  <c r="AC18" i="1" l="1"/>
  <c r="K18" i="1" s="1"/>
  <c r="AC28" i="1"/>
  <c r="K28" i="1" s="1"/>
  <c r="AC24" i="1"/>
  <c r="J24" i="1" s="1"/>
  <c r="AC32" i="1"/>
  <c r="K32" i="1" s="1"/>
  <c r="AC40" i="1"/>
  <c r="J40" i="1" s="1"/>
  <c r="AC38" i="1"/>
  <c r="J38" i="1" s="1"/>
  <c r="AC34" i="1"/>
  <c r="K34" i="1" s="1"/>
  <c r="AC42" i="1"/>
  <c r="K42" i="1" s="1"/>
  <c r="AC36" i="1"/>
  <c r="K36" i="1" s="1"/>
  <c r="D18" i="1"/>
  <c r="AC44" i="1"/>
  <c r="J44" i="1" s="1"/>
  <c r="AC20" i="1"/>
  <c r="J20" i="1" s="1"/>
  <c r="AC46" i="1"/>
  <c r="J46" i="1" s="1"/>
  <c r="AC22" i="1"/>
  <c r="K22" i="1" s="1"/>
  <c r="D44" i="1"/>
  <c r="AD16" i="1"/>
  <c r="M16" i="1" s="1"/>
  <c r="D16" i="1"/>
  <c r="D58" i="1"/>
  <c r="D48" i="1"/>
  <c r="D10" i="1"/>
  <c r="D64" i="1"/>
  <c r="AC64" i="1"/>
  <c r="K64" i="1" s="1"/>
  <c r="AC58" i="1"/>
  <c r="K58" i="1" s="1"/>
  <c r="AC54" i="1"/>
  <c r="K54" i="1" s="1"/>
  <c r="J26" i="1"/>
  <c r="K26" i="1"/>
  <c r="J10" i="1"/>
  <c r="K10" i="1"/>
  <c r="L10" i="1"/>
  <c r="M10" i="1"/>
  <c r="K14" i="1"/>
  <c r="J14" i="1"/>
  <c r="J18" i="1"/>
  <c r="G10" i="1"/>
  <c r="F10" i="1"/>
  <c r="M18" i="1"/>
  <c r="L18" i="1"/>
  <c r="J16" i="1"/>
  <c r="K16" i="1"/>
  <c r="M12" i="1"/>
  <c r="L12" i="1"/>
  <c r="AC52" i="1"/>
  <c r="K52" i="1" s="1"/>
  <c r="M14" i="1"/>
  <c r="L14" i="1"/>
  <c r="K12" i="1"/>
  <c r="J12" i="1"/>
  <c r="AC66" i="1"/>
  <c r="AC48" i="1"/>
  <c r="AC60" i="1"/>
  <c r="AC68" i="1"/>
  <c r="AC70" i="1"/>
  <c r="AC50" i="1"/>
  <c r="AC56" i="1"/>
  <c r="K30" i="1"/>
  <c r="J30" i="1"/>
  <c r="AC62" i="1"/>
  <c r="AB34" i="1"/>
  <c r="AA34" i="1"/>
  <c r="AD70" i="1"/>
  <c r="AD64" i="1"/>
  <c r="AD34" i="1"/>
  <c r="AD66" i="1"/>
  <c r="AD40" i="1"/>
  <c r="AD62" i="1"/>
  <c r="AD54" i="1"/>
  <c r="AD24" i="1"/>
  <c r="AD56" i="1"/>
  <c r="AD42" i="1"/>
  <c r="AD22" i="1"/>
  <c r="AD48" i="1"/>
  <c r="AD58" i="1"/>
  <c r="AD50" i="1"/>
  <c r="AD30" i="1"/>
  <c r="AD32" i="1"/>
  <c r="AD36" i="1"/>
  <c r="AD60" i="1"/>
  <c r="AD68" i="1"/>
  <c r="AD38" i="1"/>
  <c r="AD46" i="1"/>
  <c r="AD52" i="1"/>
  <c r="AD20" i="1"/>
  <c r="AD26" i="1"/>
  <c r="AD28" i="1"/>
  <c r="AD44" i="1"/>
  <c r="AA54" i="1"/>
  <c r="AA56" i="1"/>
  <c r="AA38" i="1"/>
  <c r="AA14" i="1"/>
  <c r="AA16" i="1"/>
  <c r="AA20" i="1"/>
  <c r="AA68" i="1"/>
  <c r="AA62" i="1"/>
  <c r="AA42" i="1"/>
  <c r="AA12" i="1"/>
  <c r="AA18" i="1"/>
  <c r="AA26" i="1"/>
  <c r="AA70" i="1"/>
  <c r="AA44" i="1"/>
  <c r="AA66" i="1"/>
  <c r="AA30" i="1"/>
  <c r="AA40" i="1"/>
  <c r="AA32" i="1"/>
  <c r="AA24" i="1"/>
  <c r="AA36" i="1"/>
  <c r="AA46" i="1"/>
  <c r="AA58" i="1"/>
  <c r="AA52" i="1"/>
  <c r="AA48" i="1"/>
  <c r="AA64" i="1"/>
  <c r="AB38" i="1"/>
  <c r="AB70" i="1"/>
  <c r="AB28" i="1"/>
  <c r="AB40" i="1"/>
  <c r="AB62" i="1"/>
  <c r="AB44" i="1"/>
  <c r="AB68" i="1"/>
  <c r="AB48" i="1"/>
  <c r="AB60" i="1"/>
  <c r="AB56" i="1"/>
  <c r="AB16" i="1"/>
  <c r="AB14" i="1"/>
  <c r="AB58" i="1"/>
  <c r="AB32" i="1"/>
  <c r="AB10" i="1"/>
  <c r="AB52" i="1"/>
  <c r="AB26" i="1"/>
  <c r="AB12" i="1"/>
  <c r="AB30" i="1"/>
  <c r="AB50" i="1"/>
  <c r="AB22" i="1"/>
  <c r="AA50" i="1"/>
  <c r="AA28" i="1"/>
  <c r="AB54" i="1"/>
  <c r="AB64" i="1"/>
  <c r="AB66" i="1"/>
  <c r="AB36" i="1"/>
  <c r="AB18" i="1"/>
  <c r="AB20" i="1"/>
  <c r="AB42" i="1"/>
  <c r="AB46" i="1"/>
  <c r="AA22" i="1"/>
  <c r="AA60" i="1"/>
  <c r="AB24" i="1"/>
  <c r="K44" i="1" l="1"/>
  <c r="J34" i="1"/>
  <c r="J32" i="1"/>
  <c r="K20" i="1"/>
  <c r="K40" i="1"/>
  <c r="J28" i="1"/>
  <c r="K24" i="1"/>
  <c r="K38" i="1"/>
  <c r="K46" i="1"/>
  <c r="J22" i="1"/>
  <c r="J36" i="1"/>
  <c r="J42" i="1"/>
  <c r="L16" i="1"/>
  <c r="J64" i="1"/>
  <c r="J52" i="1"/>
  <c r="J54" i="1"/>
  <c r="J58" i="1"/>
  <c r="M22" i="1"/>
  <c r="L22" i="1"/>
  <c r="M24" i="1"/>
  <c r="L24" i="1"/>
  <c r="H24" i="1"/>
  <c r="I24" i="1"/>
  <c r="G18" i="1"/>
  <c r="F18" i="1"/>
  <c r="H26" i="1"/>
  <c r="I26" i="1"/>
  <c r="G28" i="1"/>
  <c r="F28" i="1"/>
  <c r="H22" i="1"/>
  <c r="I22" i="1"/>
  <c r="G22" i="1"/>
  <c r="F22" i="1"/>
  <c r="I10" i="1"/>
  <c r="H10" i="1"/>
  <c r="M28" i="1"/>
  <c r="L28" i="1"/>
  <c r="G26" i="1"/>
  <c r="F26" i="1"/>
  <c r="G12" i="1"/>
  <c r="F12" i="1"/>
  <c r="I20" i="1"/>
  <c r="H20" i="1"/>
  <c r="G20" i="1"/>
  <c r="F20" i="1"/>
  <c r="M26" i="1"/>
  <c r="L26" i="1"/>
  <c r="I28" i="1"/>
  <c r="H28" i="1"/>
  <c r="I18" i="1"/>
  <c r="H18" i="1"/>
  <c r="G16" i="1"/>
  <c r="F16" i="1"/>
  <c r="H16" i="1"/>
  <c r="I16" i="1"/>
  <c r="F14" i="1"/>
  <c r="G14" i="1"/>
  <c r="M20" i="1"/>
  <c r="L20" i="1"/>
  <c r="I12" i="1"/>
  <c r="H12" i="1"/>
  <c r="I14" i="1"/>
  <c r="H14" i="1"/>
  <c r="G24" i="1"/>
  <c r="F24" i="1"/>
  <c r="F50" i="1"/>
  <c r="G50" i="1"/>
  <c r="I62" i="1"/>
  <c r="H62" i="1"/>
  <c r="G70" i="1"/>
  <c r="F70" i="1"/>
  <c r="I38" i="1"/>
  <c r="H38" i="1"/>
  <c r="M66" i="1"/>
  <c r="L66" i="1"/>
  <c r="I52" i="1"/>
  <c r="H52" i="1"/>
  <c r="G64" i="1"/>
  <c r="F64" i="1"/>
  <c r="F42" i="1"/>
  <c r="G42" i="1"/>
  <c r="M68" i="1"/>
  <c r="L68" i="1"/>
  <c r="M34" i="1"/>
  <c r="L34" i="1"/>
  <c r="K66" i="1"/>
  <c r="J66" i="1"/>
  <c r="H56" i="1"/>
  <c r="I56" i="1"/>
  <c r="I60" i="1"/>
  <c r="H60" i="1"/>
  <c r="K68" i="1"/>
  <c r="J68" i="1"/>
  <c r="G40" i="1"/>
  <c r="F40" i="1"/>
  <c r="F30" i="1"/>
  <c r="G30" i="1"/>
  <c r="M42" i="1"/>
  <c r="L42" i="1"/>
  <c r="H44" i="1"/>
  <c r="I44" i="1"/>
  <c r="I40" i="1"/>
  <c r="H40" i="1"/>
  <c r="M52" i="1"/>
  <c r="L52" i="1"/>
  <c r="I70" i="1"/>
  <c r="H70" i="1"/>
  <c r="M38" i="1"/>
  <c r="L38" i="1"/>
  <c r="I46" i="1"/>
  <c r="H46" i="1"/>
  <c r="G48" i="1"/>
  <c r="F48" i="1"/>
  <c r="F62" i="1"/>
  <c r="G62" i="1"/>
  <c r="L60" i="1"/>
  <c r="M60" i="1"/>
  <c r="M64" i="1"/>
  <c r="L64" i="1"/>
  <c r="M58" i="1"/>
  <c r="L58" i="1"/>
  <c r="G56" i="1"/>
  <c r="F56" i="1"/>
  <c r="K62" i="1"/>
  <c r="J62" i="1"/>
  <c r="I54" i="1"/>
  <c r="H54" i="1"/>
  <c r="F54" i="1"/>
  <c r="G54" i="1"/>
  <c r="H68" i="1"/>
  <c r="I68" i="1"/>
  <c r="F66" i="1"/>
  <c r="G66" i="1"/>
  <c r="M54" i="1"/>
  <c r="L54" i="1"/>
  <c r="I30" i="1"/>
  <c r="H30" i="1"/>
  <c r="M62" i="1"/>
  <c r="L62" i="1"/>
  <c r="M46" i="1"/>
  <c r="L46" i="1"/>
  <c r="G60" i="1"/>
  <c r="F60" i="1"/>
  <c r="I42" i="1"/>
  <c r="H42" i="1"/>
  <c r="H32" i="1"/>
  <c r="I32" i="1"/>
  <c r="F52" i="1"/>
  <c r="G52" i="1"/>
  <c r="F68" i="1"/>
  <c r="G68" i="1"/>
  <c r="M36" i="1"/>
  <c r="L36" i="1"/>
  <c r="M70" i="1"/>
  <c r="L70" i="1"/>
  <c r="J56" i="1"/>
  <c r="K56" i="1"/>
  <c r="F38" i="1"/>
  <c r="G38" i="1"/>
  <c r="I64" i="1"/>
  <c r="H64" i="1"/>
  <c r="G32" i="1"/>
  <c r="F32" i="1"/>
  <c r="M48" i="1"/>
  <c r="L48" i="1"/>
  <c r="I48" i="1"/>
  <c r="H48" i="1"/>
  <c r="K60" i="1"/>
  <c r="J60" i="1"/>
  <c r="M44" i="1"/>
  <c r="L44" i="1"/>
  <c r="J48" i="1"/>
  <c r="K48" i="1"/>
  <c r="M56" i="1"/>
  <c r="L56" i="1"/>
  <c r="F44" i="1"/>
  <c r="G44" i="1"/>
  <c r="I50" i="1"/>
  <c r="H50" i="1"/>
  <c r="M40" i="1"/>
  <c r="L40" i="1"/>
  <c r="I58" i="1"/>
  <c r="H58" i="1"/>
  <c r="F58" i="1"/>
  <c r="G58" i="1"/>
  <c r="M32" i="1"/>
  <c r="L32" i="1"/>
  <c r="G34" i="1"/>
  <c r="F34" i="1"/>
  <c r="K50" i="1"/>
  <c r="J50" i="1"/>
  <c r="G46" i="1"/>
  <c r="F46" i="1"/>
  <c r="M30" i="1"/>
  <c r="L30" i="1"/>
  <c r="I34" i="1"/>
  <c r="H34" i="1"/>
  <c r="K70" i="1"/>
  <c r="J70" i="1"/>
  <c r="I66" i="1"/>
  <c r="H66" i="1"/>
  <c r="I36" i="1"/>
  <c r="H36" i="1"/>
  <c r="G36" i="1"/>
  <c r="F36" i="1"/>
  <c r="M50" i="1"/>
  <c r="L50" i="1"/>
</calcChain>
</file>

<file path=xl/sharedStrings.xml><?xml version="1.0" encoding="utf-8"?>
<sst xmlns="http://schemas.openxmlformats.org/spreadsheetml/2006/main" count="126" uniqueCount="52">
  <si>
    <t>月</t>
    <rPh sb="0" eb="1">
      <t>ツキ</t>
    </rPh>
    <phoneticPr fontId="1"/>
  </si>
  <si>
    <t>部署名</t>
    <rPh sb="0" eb="3">
      <t>ブショメイ</t>
    </rPh>
    <phoneticPr fontId="1"/>
  </si>
  <si>
    <t>氏名</t>
    <rPh sb="0" eb="2">
      <t>シメイ</t>
    </rPh>
    <phoneticPr fontId="1"/>
  </si>
  <si>
    <t>勤務パターン</t>
    <rPh sb="0" eb="2">
      <t>キンム</t>
    </rPh>
    <phoneticPr fontId="1"/>
  </si>
  <si>
    <t>通常A</t>
  </si>
  <si>
    <t>出勤時間</t>
    <rPh sb="0" eb="4">
      <t>シュッキンジカン</t>
    </rPh>
    <phoneticPr fontId="1"/>
  </si>
  <si>
    <t>日付</t>
    <rPh sb="0" eb="2">
      <t>ヒヅケ</t>
    </rPh>
    <phoneticPr fontId="1"/>
  </si>
  <si>
    <t>命令時間</t>
    <rPh sb="0" eb="4">
      <t>メイレイジカン</t>
    </rPh>
    <phoneticPr fontId="1"/>
  </si>
  <si>
    <t>残業時間</t>
    <rPh sb="0" eb="4">
      <t>ザンギョウジカン</t>
    </rPh>
    <phoneticPr fontId="1"/>
  </si>
  <si>
    <t>残業内容</t>
    <rPh sb="0" eb="4">
      <t>ザンギョウナイヨウ</t>
    </rPh>
    <phoneticPr fontId="1"/>
  </si>
  <si>
    <t>累計残業時間</t>
    <rPh sb="0" eb="6">
      <t>ルイケイザンギョウジカン</t>
    </rPh>
    <phoneticPr fontId="1"/>
  </si>
  <si>
    <t>退勤時間</t>
    <rPh sb="0" eb="4">
      <t>タイキンジカン</t>
    </rPh>
    <phoneticPr fontId="1"/>
  </si>
  <si>
    <t>平日日中</t>
    <rPh sb="0" eb="2">
      <t>ヘイジツ</t>
    </rPh>
    <rPh sb="2" eb="4">
      <t>ニッチュウ</t>
    </rPh>
    <phoneticPr fontId="1"/>
  </si>
  <si>
    <t>平日深夜・早朝</t>
    <rPh sb="0" eb="2">
      <t>ヘイジツ</t>
    </rPh>
    <rPh sb="2" eb="4">
      <t>シンヤ</t>
    </rPh>
    <rPh sb="5" eb="7">
      <t>ソウチョウ</t>
    </rPh>
    <phoneticPr fontId="1"/>
  </si>
  <si>
    <t>休日日中</t>
    <rPh sb="0" eb="2">
      <t>キュウジツ</t>
    </rPh>
    <rPh sb="2" eb="4">
      <t>ニッチュウ</t>
    </rPh>
    <phoneticPr fontId="1"/>
  </si>
  <si>
    <t>休日深夜・早朝</t>
    <rPh sb="0" eb="2">
      <t>キュウジツ</t>
    </rPh>
    <rPh sb="2" eb="4">
      <t>シンヤ</t>
    </rPh>
    <rPh sb="5" eb="7">
      <t>ソウチョウ</t>
    </rPh>
    <phoneticPr fontId="1"/>
  </si>
  <si>
    <t>累計</t>
    <rPh sb="0" eb="2">
      <t>ルイケイ</t>
    </rPh>
    <phoneticPr fontId="1"/>
  </si>
  <si>
    <t>～60h</t>
    <phoneticPr fontId="1"/>
  </si>
  <si>
    <t>60h～</t>
    <phoneticPr fontId="1"/>
  </si>
  <si>
    <t>時刻</t>
    <rPh sb="0" eb="2">
      <t>ジコク</t>
    </rPh>
    <phoneticPr fontId="1"/>
  </si>
  <si>
    <t>残業理由</t>
    <rPh sb="0" eb="4">
      <t>ザンギョウリユウ</t>
    </rPh>
    <phoneticPr fontId="1"/>
  </si>
  <si>
    <t>日付オフセット</t>
    <rPh sb="0" eb="2">
      <t>ヒヅケ</t>
    </rPh>
    <phoneticPr fontId="1"/>
  </si>
  <si>
    <t>休日フラグ</t>
    <rPh sb="0" eb="2">
      <t>キュウジツ</t>
    </rPh>
    <phoneticPr fontId="1"/>
  </si>
  <si>
    <t>平日日中</t>
    <rPh sb="0" eb="4">
      <t>ヘイジツニッチュウ</t>
    </rPh>
    <phoneticPr fontId="1"/>
  </si>
  <si>
    <t>平日深夜早朝</t>
    <rPh sb="0" eb="4">
      <t>ヘイジツシンヤ</t>
    </rPh>
    <rPh sb="4" eb="6">
      <t>ソウチョウ</t>
    </rPh>
    <phoneticPr fontId="1"/>
  </si>
  <si>
    <t>休日深夜早朝</t>
    <rPh sb="0" eb="2">
      <t>キュウジツ</t>
    </rPh>
    <rPh sb="2" eb="4">
      <t>シンヤ</t>
    </rPh>
    <rPh sb="4" eb="6">
      <t>ソウチョウ</t>
    </rPh>
    <phoneticPr fontId="1"/>
  </si>
  <si>
    <t>前残業開始時間</t>
    <rPh sb="0" eb="7">
      <t>マエザンギョウカイシジカン</t>
    </rPh>
    <phoneticPr fontId="1"/>
  </si>
  <si>
    <t>出退勤時刻j</t>
    <rPh sb="0" eb="5">
      <t>シュッタイキンジコク</t>
    </rPh>
    <phoneticPr fontId="1"/>
  </si>
  <si>
    <t>出勤</t>
    <rPh sb="0" eb="2">
      <t>シュッキン</t>
    </rPh>
    <phoneticPr fontId="1"/>
  </si>
  <si>
    <t>退勤</t>
    <rPh sb="0" eb="2">
      <t>タイキン</t>
    </rPh>
    <phoneticPr fontId="1"/>
  </si>
  <si>
    <t>後残業終了時間</t>
    <rPh sb="0" eb="3">
      <t>アトザンギョウ</t>
    </rPh>
    <rPh sb="3" eb="5">
      <t>シュウリョウ</t>
    </rPh>
    <rPh sb="5" eb="7">
      <t>ジカン</t>
    </rPh>
    <phoneticPr fontId="1"/>
  </si>
  <si>
    <t>早出A</t>
  </si>
  <si>
    <t>早出B</t>
  </si>
  <si>
    <t>早出C</t>
  </si>
  <si>
    <t>早出D</t>
  </si>
  <si>
    <t>早出E</t>
  </si>
  <si>
    <t>早出F</t>
  </si>
  <si>
    <t>通常B</t>
  </si>
  <si>
    <t>通常C</t>
  </si>
  <si>
    <t>遅出A</t>
  </si>
  <si>
    <t>遅出B</t>
  </si>
  <si>
    <t>遅出C</t>
  </si>
  <si>
    <t>遅出D</t>
  </si>
  <si>
    <t>遅出E</t>
  </si>
  <si>
    <t>遅出F</t>
  </si>
  <si>
    <t>遅出G</t>
  </si>
  <si>
    <t>営業部</t>
    <rPh sb="0" eb="3">
      <t>エイギョウブ</t>
    </rPh>
    <phoneticPr fontId="1"/>
  </si>
  <si>
    <t>スタッフA</t>
    <phoneticPr fontId="1"/>
  </si>
  <si>
    <t>ああだこうだ</t>
    <phoneticPr fontId="1"/>
  </si>
  <si>
    <t>色々あった</t>
    <rPh sb="0" eb="2">
      <t>イロイロ</t>
    </rPh>
    <phoneticPr fontId="1"/>
  </si>
  <si>
    <t>かくかくしかじか</t>
    <phoneticPr fontId="1"/>
  </si>
  <si>
    <t>やんのやんの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</si>
</sst>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&quot;月&quot;d&quot;日&quot;;@"/>
    <numFmt numFmtId="177" formatCode="h:mm;@"/>
    <numFmt numFmtId="178" formatCode="[$]ggge&quot;年&quot;m&quot;月&quot;;@" x16r2:formatCode16="[$-ja-JP-x-gannen]ggge&quot;年&quot;m&quot;月&quot;;@"/>
  </numFmts>
  <fonts count="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sz val="14"/>
      <color theme="1"/>
      <name val="ＭＳ Ｐゴシック"/>
      <family val="3"/>
      <charset val="128"/>
    </font>
    <font>
      <sz val="22"/>
      <color theme="1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177" fontId="2" fillId="0" borderId="0" xfId="0" applyNumberFormat="1" applyFont="1">
      <alignment vertical="center"/>
    </xf>
    <xf numFmtId="0" fontId="3" fillId="0" borderId="1" xfId="0" applyFont="1" applyBorder="1" applyAlignment="1">
      <alignment horizontal="left"/>
    </xf>
    <xf numFmtId="176" fontId="2" fillId="0" borderId="2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20" fontId="2" fillId="2" borderId="1" xfId="0" applyNumberFormat="1" applyFont="1" applyFill="1" applyBorder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3" borderId="0" xfId="0" applyFont="1" applyFill="1">
      <alignment vertical="center"/>
    </xf>
    <xf numFmtId="0" fontId="2" fillId="3" borderId="5" xfId="0" applyFont="1" applyFill="1" applyBorder="1">
      <alignment vertical="center"/>
    </xf>
    <xf numFmtId="0" fontId="2" fillId="3" borderId="6" xfId="0" applyFont="1" applyFill="1" applyBorder="1">
      <alignment vertical="center"/>
    </xf>
    <xf numFmtId="0" fontId="2" fillId="3" borderId="7" xfId="0" applyFont="1" applyFill="1" applyBorder="1">
      <alignment vertical="center"/>
    </xf>
    <xf numFmtId="0" fontId="2" fillId="3" borderId="4" xfId="0" applyFont="1" applyFill="1" applyBorder="1">
      <alignment vertical="center"/>
    </xf>
    <xf numFmtId="20" fontId="2" fillId="3" borderId="0" xfId="0" applyNumberFormat="1" applyFont="1" applyFill="1">
      <alignment vertical="center"/>
    </xf>
    <xf numFmtId="56" fontId="2" fillId="0" borderId="1" xfId="0" applyNumberFormat="1" applyFont="1" applyBorder="1">
      <alignment vertical="center"/>
    </xf>
    <xf numFmtId="0" fontId="5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right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177" fontId="2" fillId="0" borderId="2" xfId="0" applyNumberFormat="1" applyFont="1" applyBorder="1" applyAlignment="1">
      <alignment horizontal="center" vertical="center"/>
    </xf>
    <xf numFmtId="177" fontId="2" fillId="0" borderId="3" xfId="0" applyNumberFormat="1" applyFont="1" applyBorder="1" applyAlignment="1">
      <alignment horizontal="center" vertical="center"/>
    </xf>
    <xf numFmtId="178" fontId="2" fillId="5" borderId="8" xfId="0" applyNumberFormat="1" applyFont="1" applyFill="1" applyBorder="1" applyAlignment="1">
      <alignment horizontal="center" vertical="center"/>
    </xf>
    <xf numFmtId="178" fontId="2" fillId="5" borderId="0" xfId="0" applyNumberFormat="1" applyFont="1" applyFill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77" fontId="2" fillId="4" borderId="8" xfId="0" applyNumberFormat="1" applyFont="1" applyFill="1" applyBorder="1" applyAlignment="1">
      <alignment horizontal="center" vertical="center"/>
    </xf>
    <xf numFmtId="177" fontId="2" fillId="4" borderId="0" xfId="0" applyNumberFormat="1" applyFont="1" applyFill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A2140-E98A-49EC-9CAC-C96DE541DE34}">
  <dimension ref="A2:AI202"/>
  <sheetViews>
    <sheetView tabSelected="1" topLeftCell="A7" zoomScaleNormal="100" workbookViewId="0">
      <selection activeCell="D16" sqref="D16:D17"/>
    </sheetView>
  </sheetViews>
  <sheetFormatPr defaultColWidth="9" defaultRowHeight="13.2" x14ac:dyDescent="0.45"/>
  <cols>
    <col min="1" max="1" width="11.09765625" style="1" bestFit="1" customWidth="1"/>
    <col min="2" max="3" width="9" style="1"/>
    <col min="4" max="4" width="8.59765625" style="1" customWidth="1"/>
    <col min="5" max="5" width="54.59765625" style="1" customWidth="1"/>
    <col min="6" max="13" width="6.5" style="2" bestFit="1" customWidth="1"/>
    <col min="14" max="15" width="9" style="1" customWidth="1"/>
    <col min="16" max="16" width="15.09765625" style="1" bestFit="1" customWidth="1"/>
    <col min="17" max="17" width="15.09765625" style="1" customWidth="1"/>
    <col min="18" max="18" width="11.09765625" style="1" bestFit="1" customWidth="1"/>
    <col min="19" max="19" width="56.5" style="1" customWidth="1"/>
    <col min="20" max="20" width="9" style="1"/>
    <col min="21" max="35" width="9" style="11"/>
    <col min="36" max="16384" width="9" style="1"/>
  </cols>
  <sheetData>
    <row r="2" spans="1:35" ht="25.8" x14ac:dyDescent="0.45">
      <c r="A2" s="18" t="str">
        <f>TEXT(Q2,"ggge年 m月")&amp;" 残業報告書"</f>
        <v>令和6年 5月 残業報告書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P2" s="7" t="s">
        <v>0</v>
      </c>
      <c r="Q2" s="32">
        <v>45413</v>
      </c>
      <c r="R2" s="33"/>
      <c r="S2" s="33"/>
    </row>
    <row r="3" spans="1:35" ht="18.75" customHeight="1" x14ac:dyDescent="0.45">
      <c r="P3" s="7" t="s">
        <v>1</v>
      </c>
      <c r="Q3" s="34" t="s">
        <v>46</v>
      </c>
      <c r="R3" s="35"/>
      <c r="S3" s="35"/>
    </row>
    <row r="4" spans="1:35" ht="18" customHeight="1" x14ac:dyDescent="0.45">
      <c r="F4" s="19" t="str">
        <f>Q3&amp;" "&amp;Q4&amp;"  印"</f>
        <v>営業部 スタッフA  印</v>
      </c>
      <c r="G4" s="19"/>
      <c r="H4" s="19"/>
      <c r="I4" s="19"/>
      <c r="J4" s="19"/>
      <c r="K4" s="19"/>
      <c r="L4" s="19"/>
      <c r="M4" s="19"/>
      <c r="P4" s="7" t="s">
        <v>2</v>
      </c>
      <c r="Q4" s="34" t="s">
        <v>47</v>
      </c>
      <c r="R4" s="35"/>
      <c r="S4" s="35"/>
    </row>
    <row r="5" spans="1:35" ht="18" customHeight="1" x14ac:dyDescent="0.45">
      <c r="P5" s="10" t="s">
        <v>3</v>
      </c>
      <c r="Q5" s="34" t="s">
        <v>4</v>
      </c>
      <c r="R5" s="35"/>
      <c r="S5" s="35"/>
    </row>
    <row r="6" spans="1:35" ht="18" customHeight="1" x14ac:dyDescent="0.45">
      <c r="B6" s="3"/>
      <c r="P6" s="10" t="s">
        <v>5</v>
      </c>
      <c r="Q6" s="36">
        <f>IF($Q$5&lt;&gt;"",VLOOKUP($Q$5,AG11:AI26,2),"")</f>
        <v>0.35416666666666669</v>
      </c>
      <c r="R6" s="37"/>
      <c r="S6" s="37"/>
    </row>
    <row r="7" spans="1:35" ht="18" customHeight="1" x14ac:dyDescent="0.2">
      <c r="A7" s="22" t="s">
        <v>6</v>
      </c>
      <c r="B7" s="22" t="s">
        <v>7</v>
      </c>
      <c r="C7" s="22"/>
      <c r="D7" s="38" t="s">
        <v>8</v>
      </c>
      <c r="E7" s="22" t="s">
        <v>9</v>
      </c>
      <c r="F7" s="22" t="s">
        <v>10</v>
      </c>
      <c r="G7" s="22"/>
      <c r="H7" s="22"/>
      <c r="I7" s="22"/>
      <c r="J7" s="22"/>
      <c r="K7" s="22"/>
      <c r="L7" s="22"/>
      <c r="M7" s="22"/>
      <c r="P7" s="10" t="s">
        <v>11</v>
      </c>
      <c r="Q7" s="36">
        <f>IF($Q$5&lt;&gt;"",VLOOKUP($Q$5,AG11:AI26,3),"")</f>
        <v>0.71875</v>
      </c>
      <c r="R7" s="37"/>
      <c r="S7" s="37"/>
    </row>
    <row r="8" spans="1:35" x14ac:dyDescent="0.15">
      <c r="A8" s="22"/>
      <c r="B8" s="22"/>
      <c r="C8" s="22"/>
      <c r="D8" s="39"/>
      <c r="E8" s="22"/>
      <c r="F8" s="28" t="s">
        <v>12</v>
      </c>
      <c r="G8" s="28"/>
      <c r="H8" s="28" t="s">
        <v>13</v>
      </c>
      <c r="I8" s="28"/>
      <c r="J8" s="28" t="s">
        <v>14</v>
      </c>
      <c r="K8" s="28"/>
      <c r="L8" s="28" t="s">
        <v>15</v>
      </c>
      <c r="M8" s="28"/>
      <c r="W8" s="26" t="s">
        <v>8</v>
      </c>
      <c r="X8" s="26"/>
      <c r="Y8" s="26"/>
      <c r="Z8" s="26"/>
      <c r="AA8" s="26" t="s">
        <v>16</v>
      </c>
      <c r="AB8" s="26"/>
      <c r="AC8" s="26"/>
      <c r="AD8" s="26"/>
    </row>
    <row r="9" spans="1:35" x14ac:dyDescent="0.15">
      <c r="A9" s="22"/>
      <c r="B9" s="22"/>
      <c r="C9" s="22"/>
      <c r="D9" s="40"/>
      <c r="E9" s="22"/>
      <c r="F9" s="4" t="s">
        <v>17</v>
      </c>
      <c r="G9" s="4" t="s">
        <v>18</v>
      </c>
      <c r="H9" s="4" t="s">
        <v>17</v>
      </c>
      <c r="I9" s="4" t="s">
        <v>18</v>
      </c>
      <c r="J9" s="4" t="s">
        <v>17</v>
      </c>
      <c r="K9" s="4" t="s">
        <v>18</v>
      </c>
      <c r="L9" s="4" t="s">
        <v>17</v>
      </c>
      <c r="M9" s="4" t="s">
        <v>18</v>
      </c>
      <c r="P9" s="29" t="s">
        <v>19</v>
      </c>
      <c r="Q9" s="29"/>
      <c r="R9" s="29"/>
      <c r="S9" s="10" t="s">
        <v>20</v>
      </c>
      <c r="U9" s="11" t="s">
        <v>21</v>
      </c>
      <c r="V9" s="11" t="s">
        <v>22</v>
      </c>
      <c r="W9" s="11" t="s">
        <v>23</v>
      </c>
      <c r="X9" s="11" t="s">
        <v>24</v>
      </c>
      <c r="Y9" s="11" t="s">
        <v>14</v>
      </c>
      <c r="Z9" s="11" t="s">
        <v>25</v>
      </c>
      <c r="AA9" s="11" t="s">
        <v>23</v>
      </c>
      <c r="AB9" s="11" t="s">
        <v>24</v>
      </c>
      <c r="AC9" s="11" t="s">
        <v>14</v>
      </c>
      <c r="AD9" s="11" t="s">
        <v>25</v>
      </c>
    </row>
    <row r="10" spans="1:35" x14ac:dyDescent="0.45">
      <c r="A10" s="5">
        <f>IF((EOMONTH($Q$2,0)-$Q$2)&gt;=$U10,$Q$2+$U10,"")</f>
        <v>45413</v>
      </c>
      <c r="B10" s="6">
        <f>IF(A10&lt;&gt;"",IF(R10=0,"",R10),"")</f>
        <v>0.71875</v>
      </c>
      <c r="C10" s="6">
        <f>IF(AND($A10&lt;&gt;"",$V10=FALSE),$Q$6,IF(R11=0,"",IF(Q11&gt;$Q$2+U10,R11+1,R11)))</f>
        <v>0.35416666666666669</v>
      </c>
      <c r="D10" s="30">
        <f>SUM(W10:Z11)</f>
        <v>0.1020833333333333</v>
      </c>
      <c r="E10" s="23" t="str">
        <f>IF(S10&lt;&gt;"",S10,"")</f>
        <v>ああだこうだ</v>
      </c>
      <c r="F10" s="25">
        <f>IF(ROUNDUP(AA10*24,0)&gt;60,60,ROUNDUP(AA10*24,0))</f>
        <v>3</v>
      </c>
      <c r="G10" s="25" t="str">
        <f>IF(ROUNDUP(AA10*24,0)&gt;60,ROUNDUP(AA10*24,0)-60,"")</f>
        <v/>
      </c>
      <c r="H10" s="25">
        <f>IF(ROUNDUP(AB10*24,0)&gt;60,60,ROUNDUP(AB10*24,0))</f>
        <v>0</v>
      </c>
      <c r="I10" s="25" t="str">
        <f>IF(ROUNDUP(AB10*24,0)&gt;60,ROUNDUP(AB10*24,0)-60,"")</f>
        <v/>
      </c>
      <c r="J10" s="25">
        <f>IF(ROUNDUP(AC10*24,0)&gt;60,60,ROUNDUP(AC10*24,0))</f>
        <v>0</v>
      </c>
      <c r="K10" s="25" t="str">
        <f>IF(ROUNDUP(AC10*24,0)&gt;60,ROUNDUP(AC10*24,0)-60,"")</f>
        <v/>
      </c>
      <c r="L10" s="25">
        <f>IF(ROUNDUP(AD10*24,0)&gt;60,60,ROUNDUP(AD10*24,0))</f>
        <v>0</v>
      </c>
      <c r="M10" s="25" t="str">
        <f>IF(ROUNDUP(AD10*24,0)&gt;60,ROUNDUP(AD10*24,0)-60,"")</f>
        <v/>
      </c>
      <c r="P10" s="7" t="s">
        <v>26</v>
      </c>
      <c r="Q10" s="17">
        <f>Q$2+U10</f>
        <v>45413</v>
      </c>
      <c r="R10" s="8">
        <v>0.71875</v>
      </c>
      <c r="S10" s="27" t="s">
        <v>48</v>
      </c>
      <c r="U10" s="12">
        <v>0</v>
      </c>
      <c r="V10" s="13" t="b">
        <f>IF(A10&lt;&gt;"",IF(OR(WEEKDAY(A10)=1,WEEKDAY(A10)=7),TRUE,FALSE),"")</f>
        <v>0</v>
      </c>
      <c r="W10" s="13">
        <f t="shared" ref="W10:W12" si="0">IF(V10=FALSE,IF(B10&lt;&gt;"",IF(B10&lt;(5/24),B11-(5/24),B11-B10),0),0)</f>
        <v>0</v>
      </c>
      <c r="X10" s="13">
        <f>IF(V10=FALSE,IF(B10&lt;&gt;"",IF(B10&lt;(5/24),(5/24)-B10,0),0),0)</f>
        <v>0</v>
      </c>
      <c r="Y10" s="13">
        <f>IF(V10=TRUE,IF(B10&lt;&gt;"",IF(B10&lt;(5/24),(12/24)-(5/24),(12/24)-B10),0),0)</f>
        <v>0</v>
      </c>
      <c r="Z10" s="13">
        <f>IF(V10=TRUE,IF(B10&lt;(5/24),(5/24)-B10,0),0)</f>
        <v>0</v>
      </c>
      <c r="AA10" s="20">
        <f>SUM(W10:W11)</f>
        <v>0.1020833333333333</v>
      </c>
      <c r="AB10" s="20">
        <f>SUM(X10:X11)</f>
        <v>0</v>
      </c>
      <c r="AC10" s="20">
        <f>SUM(Y10:Y11)</f>
        <v>0</v>
      </c>
      <c r="AD10" s="20">
        <f>SUM(Z10:Z11)</f>
        <v>0</v>
      </c>
      <c r="AF10" s="11" t="s">
        <v>27</v>
      </c>
      <c r="AG10" s="11" t="s">
        <v>3</v>
      </c>
      <c r="AH10" s="11" t="s">
        <v>28</v>
      </c>
      <c r="AI10" s="11" t="s">
        <v>29</v>
      </c>
    </row>
    <row r="11" spans="1:35" x14ac:dyDescent="0.45">
      <c r="A11" s="9" t="str">
        <f>IF(A10="","",TEXT(A10,"(aaa)"))</f>
        <v>(水)</v>
      </c>
      <c r="B11" s="6">
        <f>IF(AND($A10&lt;&gt;"",$V10=FALSE),$Q$7,IF($V10=TRUE,"---",""))</f>
        <v>0.71875</v>
      </c>
      <c r="C11" s="6">
        <f>IF(AND(A10&lt;&gt;"",$V10=FALSE),IF(R11=0,"",IF(Q11&gt;$Q$2+U11,R11+1,R11)),IF($V10=TRUE,"---",""))</f>
        <v>0.8208333333333333</v>
      </c>
      <c r="D11" s="31"/>
      <c r="E11" s="24"/>
      <c r="F11" s="25"/>
      <c r="G11" s="25"/>
      <c r="H11" s="25"/>
      <c r="I11" s="25"/>
      <c r="J11" s="25"/>
      <c r="K11" s="25"/>
      <c r="L11" s="25"/>
      <c r="M11" s="25"/>
      <c r="P11" s="7" t="s">
        <v>30</v>
      </c>
      <c r="Q11" s="17">
        <f>Q$2+U11</f>
        <v>45413</v>
      </c>
      <c r="R11" s="8">
        <v>0.8208333333333333</v>
      </c>
      <c r="S11" s="27"/>
      <c r="U11" s="14">
        <v>0</v>
      </c>
      <c r="V11" s="15"/>
      <c r="W11" s="15">
        <f t="shared" ref="W11" si="1">IF(V10=FALSE,IF(C11&lt;&gt;"",IF(C11&gt;(22/24),(22/24)-B11,C11-B11),0),0)</f>
        <v>0.1020833333333333</v>
      </c>
      <c r="X11" s="15">
        <f>IF(V10=FALSE,IF(C11&lt;&gt;"",IF(C11&gt;(22/24),C11-(22/24),0),0),0)</f>
        <v>0</v>
      </c>
      <c r="Y11" s="15">
        <f>IF(V10=TRUE,IF(C10&lt;&gt;"",IF(C10&gt;(22/24),(22/24)-(12/24),C10-(12/24)),0),0)</f>
        <v>0</v>
      </c>
      <c r="Z11" s="15">
        <f>IF(V10=TRUE,IF(C10&lt;&gt;"",IF(C10&gt;(22/24),C10-(22/24),0),0),0)</f>
        <v>0</v>
      </c>
      <c r="AA11" s="21"/>
      <c r="AB11" s="21"/>
      <c r="AC11" s="21"/>
      <c r="AD11" s="21"/>
      <c r="AF11" s="16">
        <v>0</v>
      </c>
      <c r="AG11" s="16" t="s">
        <v>31</v>
      </c>
      <c r="AH11" s="16">
        <v>0.22916666666666666</v>
      </c>
      <c r="AI11" s="16">
        <v>0.59375</v>
      </c>
    </row>
    <row r="12" spans="1:35" x14ac:dyDescent="0.45">
      <c r="A12" s="5">
        <f>IF((EOMONTH($Q$2,0)-$Q$2)&gt;=$U12,$Q$2+$U12,"")</f>
        <v>45414</v>
      </c>
      <c r="B12" s="6">
        <f>IF(A12&lt;&gt;"",IF(R12=0,"",R12),"")</f>
        <v>0.71875</v>
      </c>
      <c r="C12" s="6">
        <f>IF(AND($A12&lt;&gt;"",$V12=FALSE),$Q$6,IF(R13=0,"",IF(Q13&gt;$Q$2+U12,R13+1,R13)))</f>
        <v>0.35416666666666669</v>
      </c>
      <c r="D12" s="30">
        <f>SUM(W12:Z13)</f>
        <v>0.32291666666666674</v>
      </c>
      <c r="E12" s="23" t="str">
        <f>IF(S12&lt;&gt;"",S12,"")</f>
        <v>かくかくしかじか</v>
      </c>
      <c r="F12" s="25">
        <f>IF(ROUNDUP(AA12*24,0)&gt;60,60,ROUNDUP(AA12*24,0))</f>
        <v>8</v>
      </c>
      <c r="G12" s="25" t="str">
        <f>IF(ROUNDUP(AA12*24,0)&gt;60,ROUNDUP(AA12*24,0)-60,"")</f>
        <v/>
      </c>
      <c r="H12" s="25">
        <f>IF(ROUNDUP(AB12*24,0)&gt;60,60,ROUNDUP(AB12*24,0))</f>
        <v>3</v>
      </c>
      <c r="I12" s="25" t="str">
        <f>IF(ROUNDUP(AB12*24,0)&gt;60,ROUNDUP(AB12*24,0)-60,"")</f>
        <v/>
      </c>
      <c r="J12" s="25">
        <f>IF(ROUNDUP(AC12*24,0)&gt;60,60,ROUNDUP(AC12*24,0))</f>
        <v>0</v>
      </c>
      <c r="K12" s="25" t="str">
        <f>IF(ROUNDUP(AC12*24,0)&gt;60,ROUNDUP(AC12*24,0)-60,"")</f>
        <v/>
      </c>
      <c r="L12" s="25">
        <f>IF(ROUNDUP(AD12*24,0)&gt;60,60,ROUNDUP(AD12*24,0))</f>
        <v>0</v>
      </c>
      <c r="M12" s="25" t="str">
        <f>IF(ROUNDUP(AD12*24,0)&gt;60,ROUNDUP(AD12*24,0)-60,"")</f>
        <v/>
      </c>
      <c r="P12" s="7" t="s">
        <v>26</v>
      </c>
      <c r="Q12" s="17">
        <f t="shared" ref="Q12:Q71" si="2">Q$2+U12</f>
        <v>45414</v>
      </c>
      <c r="R12" s="8">
        <v>0.71875</v>
      </c>
      <c r="S12" s="27" t="s">
        <v>50</v>
      </c>
      <c r="U12" s="12">
        <v>1</v>
      </c>
      <c r="V12" s="13" t="b">
        <f t="shared" ref="V12" si="3">IF(A12&lt;&gt;"",IF(OR(WEEKDAY(A12)=1,WEEKDAY(A12)=7),TRUE,FALSE),"")</f>
        <v>0</v>
      </c>
      <c r="W12" s="13">
        <f t="shared" si="0"/>
        <v>0</v>
      </c>
      <c r="X12" s="13">
        <f t="shared" ref="X12" si="4">IF(V12=FALSE,IF(B12&lt;&gt;"",IF(B12&lt;(5/24),(5/24)-B12,0),0),0)</f>
        <v>0</v>
      </c>
      <c r="Y12" s="13">
        <f t="shared" ref="Y12" si="5">IF(V12=TRUE,IF(B12&lt;&gt;"",IF(B12&lt;(5/24),(12/24)-(5/24),(12/24)-B12),0),0)</f>
        <v>0</v>
      </c>
      <c r="Z12" s="13">
        <f t="shared" ref="Z12" si="6">IF(V12=TRUE,IF(B12&lt;(5/24),(5/24)-B12,0),0)</f>
        <v>0</v>
      </c>
      <c r="AA12" s="20">
        <f>SUM(W12:W13,W10:W11)</f>
        <v>0.29999999999999993</v>
      </c>
      <c r="AB12" s="20">
        <f>SUM(X12:X13,X10:X11)</f>
        <v>0.12500000000000011</v>
      </c>
      <c r="AC12" s="20">
        <f>SUM(Y12:Y13,Y10:Y11)</f>
        <v>0</v>
      </c>
      <c r="AD12" s="20">
        <f>SUM(Z12:Z13,Z10:Z11)</f>
        <v>0</v>
      </c>
      <c r="AF12" s="16">
        <v>1.0416666666666666E-2</v>
      </c>
      <c r="AG12" s="16" t="s">
        <v>32</v>
      </c>
      <c r="AH12" s="16">
        <v>0.25</v>
      </c>
      <c r="AI12" s="16">
        <v>0.61458333333333337</v>
      </c>
    </row>
    <row r="13" spans="1:35" x14ac:dyDescent="0.45">
      <c r="A13" s="9" t="str">
        <f t="shared" ref="A13" si="7">IF(A12="","",TEXT(A12,"(aaa)"))</f>
        <v>(木)</v>
      </c>
      <c r="B13" s="6">
        <f>IF(AND($A12&lt;&gt;"",$V12=FALSE),$Q$7,IF($V12=TRUE,"---",""))</f>
        <v>0.71875</v>
      </c>
      <c r="C13" s="6">
        <f>IF(AND(A12&lt;&gt;"",$V12=FALSE),IF(R13=0,"",IF(Q13&gt;$Q$2+U13,R13+1,R13)),IF($V12=TRUE,"---",""))</f>
        <v>1.0416666666666667</v>
      </c>
      <c r="D13" s="31"/>
      <c r="E13" s="24"/>
      <c r="F13" s="25"/>
      <c r="G13" s="25"/>
      <c r="H13" s="25"/>
      <c r="I13" s="25"/>
      <c r="J13" s="25"/>
      <c r="K13" s="25"/>
      <c r="L13" s="25"/>
      <c r="M13" s="25"/>
      <c r="P13" s="7" t="s">
        <v>30</v>
      </c>
      <c r="Q13" s="17">
        <v>45415</v>
      </c>
      <c r="R13" s="8">
        <v>4.1666666666666664E-2</v>
      </c>
      <c r="S13" s="27"/>
      <c r="U13" s="14">
        <v>1</v>
      </c>
      <c r="V13" s="15"/>
      <c r="W13" s="15">
        <f t="shared" ref="W13:W17" si="8">IF(V12=FALSE,IF(C13&lt;&gt;"",IF(C13&gt;(22/24),(22/24)-B13,C13-B13),0),0)</f>
        <v>0.19791666666666663</v>
      </c>
      <c r="X13" s="15">
        <f>IF(V12=FALSE,IF(C13&lt;&gt;"",IF(C13&gt;(22/24),C13-(22/24),0),0),0)</f>
        <v>0.12500000000000011</v>
      </c>
      <c r="Y13" s="15">
        <f t="shared" ref="Y13" si="9">IF(V12=TRUE,IF(C12&lt;&gt;"",IF(C12&gt;(22/24),(22/24)-(12/24),C12-(12/24)),0),0)</f>
        <v>0</v>
      </c>
      <c r="Z13" s="15">
        <f t="shared" ref="Z13" si="10">IF(V12=TRUE,IF(C12&lt;&gt;"",IF(C12&gt;(22/24),C12-(22/24),0),0),0)</f>
        <v>0</v>
      </c>
      <c r="AA13" s="21"/>
      <c r="AB13" s="21"/>
      <c r="AC13" s="21"/>
      <c r="AD13" s="21"/>
      <c r="AF13" s="16">
        <v>2.0833333333333332E-2</v>
      </c>
      <c r="AG13" s="16" t="s">
        <v>33</v>
      </c>
      <c r="AH13" s="16">
        <v>0.27083333333333331</v>
      </c>
      <c r="AI13" s="16">
        <v>0.63541666666666663</v>
      </c>
    </row>
    <row r="14" spans="1:35" x14ac:dyDescent="0.45">
      <c r="A14" s="5">
        <f>IF((EOMONTH($Q$2,0)-$Q$2)&gt;=$U14,$Q$2+$U14,"")</f>
        <v>45415</v>
      </c>
      <c r="B14" s="6">
        <f>IF(A14&lt;&gt;"",IF(R14=0,"",R14),"")</f>
        <v>0.71875</v>
      </c>
      <c r="C14" s="6">
        <f>IF(AND($A14&lt;&gt;"",$V14=FALSE),$Q$6,IF(R15=0,"",IF(Q15&gt;$Q$2+U14,R15+1,R15)))</f>
        <v>0.35416666666666669</v>
      </c>
      <c r="D14" s="30">
        <f>SUM(W14:Z15)</f>
        <v>0.28055555555555556</v>
      </c>
      <c r="E14" s="23" t="str">
        <f>IF(S14&lt;&gt;"",S14,"")</f>
        <v>やんのやんの</v>
      </c>
      <c r="F14" s="25">
        <f>IF(ROUNDUP(AA14*24,0)&gt;60,60,ROUNDUP(AA14*24,0))</f>
        <v>12</v>
      </c>
      <c r="G14" s="25" t="str">
        <f>IF(ROUNDUP(AA14*24,0)&gt;60,ROUNDUP(AA14*24,0)-60,"")</f>
        <v/>
      </c>
      <c r="H14" s="25">
        <f>IF(ROUNDUP(AB14*24,0)&gt;60,60,ROUNDUP(AB14*24,0))</f>
        <v>5</v>
      </c>
      <c r="I14" s="25" t="str">
        <f>IF(ROUNDUP(AB14*24,0)&gt;60,ROUNDUP(AB14*24,0)-60,"")</f>
        <v/>
      </c>
      <c r="J14" s="25">
        <f>IF(ROUNDUP(AC14*24,0)&gt;60,60,ROUNDUP(AC14*24,0))</f>
        <v>0</v>
      </c>
      <c r="K14" s="25" t="str">
        <f>IF(ROUNDUP(AC14*24,0)&gt;60,ROUNDUP(AC14*24,0)-60,"")</f>
        <v/>
      </c>
      <c r="L14" s="25">
        <f>IF(ROUNDUP(AD14*24,0)&gt;60,60,ROUNDUP(AD14*24,0))</f>
        <v>0</v>
      </c>
      <c r="M14" s="25" t="str">
        <f>IF(ROUNDUP(AD14*24,0)&gt;60,ROUNDUP(AD14*24,0)-60,"")</f>
        <v/>
      </c>
      <c r="P14" s="7" t="s">
        <v>26</v>
      </c>
      <c r="Q14" s="17">
        <f t="shared" si="2"/>
        <v>45415</v>
      </c>
      <c r="R14" s="8">
        <v>0.71875</v>
      </c>
      <c r="S14" s="27" t="s">
        <v>51</v>
      </c>
      <c r="U14" s="12">
        <v>2</v>
      </c>
      <c r="V14" s="13" t="b">
        <f t="shared" ref="V14" si="11">IF(A14&lt;&gt;"",IF(OR(WEEKDAY(A14)=1,WEEKDAY(A14)=7),TRUE,FALSE),"")</f>
        <v>0</v>
      </c>
      <c r="W14" s="13">
        <f t="shared" ref="W14" si="12">IF(V14=FALSE,IF(B14&lt;&gt;"",IF(B14&lt;(5/24),B15-(5/24),B15-B14),0),0)</f>
        <v>0</v>
      </c>
      <c r="X14" s="13">
        <f t="shared" ref="X14" si="13">IF(V14=FALSE,IF(B14&lt;&gt;"",IF(B14&lt;(5/24),(5/24)-B14,0),0),0)</f>
        <v>0</v>
      </c>
      <c r="Y14" s="13">
        <f t="shared" ref="Y14" si="14">IF(V14=TRUE,IF(B14&lt;&gt;"",IF(B14&lt;(5/24),(12/24)-(5/24),(12/24)-B14),0),0)</f>
        <v>0</v>
      </c>
      <c r="Z14" s="13">
        <f t="shared" ref="Z14" si="15">IF(V14=TRUE,IF(B14&lt;(5/24),(5/24)-B14,0),0)</f>
        <v>0</v>
      </c>
      <c r="AA14" s="20">
        <f>SUM(W14:W15,W10:W13)</f>
        <v>0.49791666666666656</v>
      </c>
      <c r="AB14" s="20">
        <f>SUM(X14:X15,X10:X13)</f>
        <v>0.20763888888888904</v>
      </c>
      <c r="AC14" s="20">
        <f>SUM(Y14:Y15,Y10:Y13)</f>
        <v>0</v>
      </c>
      <c r="AD14" s="20">
        <f>SUM(Z14:Z15,Z10:Z13)</f>
        <v>0</v>
      </c>
      <c r="AF14" s="16">
        <v>3.125E-2</v>
      </c>
      <c r="AG14" s="16" t="s">
        <v>34</v>
      </c>
      <c r="AH14" s="16">
        <v>0.29166666666666669</v>
      </c>
      <c r="AI14" s="16">
        <v>0.65625</v>
      </c>
    </row>
    <row r="15" spans="1:35" x14ac:dyDescent="0.45">
      <c r="A15" s="9" t="str">
        <f t="shared" ref="A15" si="16">IF(A14="","",TEXT(A14,"(aaa)"))</f>
        <v>(金)</v>
      </c>
      <c r="B15" s="6">
        <f>IF(AND($A14&lt;&gt;"",$V14=FALSE),$Q$7,IF($V14=TRUE,"---",""))</f>
        <v>0.71875</v>
      </c>
      <c r="C15" s="6">
        <f>IF(AND(A14&lt;&gt;"",$V14=FALSE),IF(R15=0,"",IF(Q15&gt;$Q$2+U15,R15+1,R15)),IF($V14=TRUE,"---",""))</f>
        <v>0.99930555555555556</v>
      </c>
      <c r="D15" s="31"/>
      <c r="E15" s="24"/>
      <c r="F15" s="25"/>
      <c r="G15" s="25"/>
      <c r="H15" s="25"/>
      <c r="I15" s="25"/>
      <c r="J15" s="25"/>
      <c r="K15" s="25"/>
      <c r="L15" s="25"/>
      <c r="M15" s="25"/>
      <c r="P15" s="7" t="s">
        <v>30</v>
      </c>
      <c r="Q15" s="17">
        <f t="shared" si="2"/>
        <v>45415</v>
      </c>
      <c r="R15" s="8">
        <v>0.99930555555555556</v>
      </c>
      <c r="S15" s="27"/>
      <c r="U15" s="14">
        <v>2</v>
      </c>
      <c r="V15" s="15"/>
      <c r="W15" s="15">
        <f t="shared" si="8"/>
        <v>0.19791666666666663</v>
      </c>
      <c r="X15" s="15">
        <f t="shared" ref="X15" si="17">IF(V14=FALSE,IF(C15&lt;&gt;"",IF(C15&gt;(22/24),C15-(22/24),0),0),0)</f>
        <v>8.2638888888888928E-2</v>
      </c>
      <c r="Y15" s="15">
        <f t="shared" ref="Y15" si="18">IF(V14=TRUE,IF(C14&lt;&gt;"",IF(C14&gt;(22/24),(22/24)-(12/24),C14-(12/24)),0),0)</f>
        <v>0</v>
      </c>
      <c r="Z15" s="15">
        <f t="shared" ref="Z15" si="19">IF(V14=TRUE,IF(C14&lt;&gt;"",IF(C14&gt;(22/24),C14-(22/24),0),0),0)</f>
        <v>0</v>
      </c>
      <c r="AA15" s="21"/>
      <c r="AB15" s="21"/>
      <c r="AC15" s="21"/>
      <c r="AD15" s="21"/>
      <c r="AF15" s="16">
        <v>4.1666666666666699E-2</v>
      </c>
      <c r="AG15" s="16" t="s">
        <v>35</v>
      </c>
      <c r="AH15" s="16">
        <v>0.3125</v>
      </c>
      <c r="AI15" s="16">
        <v>0.67708333333333337</v>
      </c>
    </row>
    <row r="16" spans="1:35" x14ac:dyDescent="0.45">
      <c r="A16" s="5">
        <f>IF((EOMONTH($Q$2,0)-$Q$2)&gt;=$U16,$Q$2+$U16,"")</f>
        <v>45416</v>
      </c>
      <c r="B16" s="6">
        <f>IF(A16&lt;&gt;"",IF(R16=0,"",R16),"")</f>
        <v>0.41666666666666669</v>
      </c>
      <c r="C16" s="6">
        <f>IF(AND($A16&lt;&gt;"",$V16=FALSE),$Q$6,IF(R17=0,"",IF(Q17&gt;$Q$2+U16,R17+1,R17)))</f>
        <v>0.625</v>
      </c>
      <c r="D16" s="30">
        <f>SUM(W16:Z17)</f>
        <v>0.20833333333333331</v>
      </c>
      <c r="E16" s="23" t="str">
        <f>IF(S16&lt;&gt;"",S16,"")</f>
        <v>色々あった</v>
      </c>
      <c r="F16" s="25">
        <f>IF(ROUNDUP(AA16*24,0)&gt;60,60,ROUNDUP(AA16*24,0))</f>
        <v>12</v>
      </c>
      <c r="G16" s="25" t="str">
        <f>IF(ROUNDUP(AA16*24,0)&gt;60,ROUNDUP(AA16*24,0)-60,"")</f>
        <v/>
      </c>
      <c r="H16" s="25">
        <f>IF(ROUNDUP(AB16*24,0)&gt;60,60,ROUNDUP(AB16*24,0))</f>
        <v>5</v>
      </c>
      <c r="I16" s="25" t="str">
        <f>IF(ROUNDUP(AB16*24,0)&gt;60,ROUNDUP(AB16*24,0)-60,"")</f>
        <v/>
      </c>
      <c r="J16" s="25">
        <f>IF(ROUNDUP(AC16*24,0)&gt;60,60,ROUNDUP(AC16*24,0))</f>
        <v>5</v>
      </c>
      <c r="K16" s="25" t="str">
        <f>IF(ROUNDUP(AC16*24,0)&gt;60,ROUNDUP(AC16*24,0)-60,"")</f>
        <v/>
      </c>
      <c r="L16" s="25">
        <f>IF(ROUNDUP(AD16*24,0)&gt;60,60,ROUNDUP(AD16*24,0))</f>
        <v>0</v>
      </c>
      <c r="M16" s="25" t="str">
        <f>IF(ROUNDUP(AD16*24,0)&gt;60,ROUNDUP(AD16*24,0)-60,"")</f>
        <v/>
      </c>
      <c r="P16" s="7" t="s">
        <v>26</v>
      </c>
      <c r="Q16" s="17">
        <f t="shared" si="2"/>
        <v>45416</v>
      </c>
      <c r="R16" s="8">
        <v>0.41666666666666669</v>
      </c>
      <c r="S16" s="27" t="s">
        <v>49</v>
      </c>
      <c r="U16" s="12">
        <v>3</v>
      </c>
      <c r="V16" s="13" t="b">
        <f t="shared" ref="V16" si="20">IF(A16&lt;&gt;"",IF(OR(WEEKDAY(A16)=1,WEEKDAY(A16)=7),TRUE,FALSE),"")</f>
        <v>1</v>
      </c>
      <c r="W16" s="13">
        <f t="shared" ref="W16" si="21">IF(V16=FALSE,IF(B16&lt;&gt;"",IF(B16&lt;(5/24),B17-(5/24),B17-B16),0),0)</f>
        <v>0</v>
      </c>
      <c r="X16" s="13">
        <f t="shared" ref="X16" si="22">IF(V16=FALSE,IF(B16&lt;&gt;"",IF(B16&lt;(5/24),(5/24)-B16,0),0),0)</f>
        <v>0</v>
      </c>
      <c r="Y16" s="13">
        <f t="shared" ref="Y16" si="23">IF(V16=TRUE,IF(B16&lt;&gt;"",IF(B16&lt;(5/24),(12/24)-(5/24),(12/24)-B16),0),0)</f>
        <v>8.3333333333333315E-2</v>
      </c>
      <c r="Z16" s="13">
        <f t="shared" ref="Z16" si="24">IF(V16=TRUE,IF(B16&lt;(5/24),(5/24)-B16,0),0)</f>
        <v>0</v>
      </c>
      <c r="AA16" s="20">
        <f>SUM(W16:W17,W10:W15)</f>
        <v>0.49791666666666656</v>
      </c>
      <c r="AB16" s="20">
        <f>SUM(X16:X17,X10:X15)</f>
        <v>0.20763888888888904</v>
      </c>
      <c r="AC16" s="20">
        <f>SUM(Y16:Y17,Y10:Y15)</f>
        <v>0.20833333333333331</v>
      </c>
      <c r="AD16" s="20">
        <f>SUM(Z16:Z17,Z10:Z15)</f>
        <v>0</v>
      </c>
      <c r="AF16" s="16">
        <v>5.2083333333333301E-2</v>
      </c>
      <c r="AG16" s="16" t="s">
        <v>36</v>
      </c>
      <c r="AH16" s="16">
        <v>0.33333333333333331</v>
      </c>
      <c r="AI16" s="16">
        <v>0.69791666666666663</v>
      </c>
    </row>
    <row r="17" spans="1:35" x14ac:dyDescent="0.45">
      <c r="A17" s="9" t="str">
        <f t="shared" ref="A17" si="25">IF(A16="","",TEXT(A16,"(aaa)"))</f>
        <v>(土)</v>
      </c>
      <c r="B17" s="6" t="str">
        <f>IF(AND($A16&lt;&gt;"",$V16=FALSE),$Q$7,IF($V16=TRUE,"---",""))</f>
        <v>---</v>
      </c>
      <c r="C17" s="6" t="str">
        <f>IF(AND(A16&lt;&gt;"",$V16=FALSE),IF(R17=0,"",IF(Q17&gt;$Q$2+U17,R17+1,R17)),IF($V16=TRUE,"---",""))</f>
        <v>---</v>
      </c>
      <c r="D17" s="31"/>
      <c r="E17" s="24"/>
      <c r="F17" s="25"/>
      <c r="G17" s="25"/>
      <c r="H17" s="25"/>
      <c r="I17" s="25"/>
      <c r="J17" s="25"/>
      <c r="K17" s="25"/>
      <c r="L17" s="25"/>
      <c r="M17" s="25"/>
      <c r="P17" s="7" t="s">
        <v>30</v>
      </c>
      <c r="Q17" s="17">
        <f t="shared" si="2"/>
        <v>45416</v>
      </c>
      <c r="R17" s="8">
        <v>0.625</v>
      </c>
      <c r="S17" s="27"/>
      <c r="U17" s="14">
        <v>3</v>
      </c>
      <c r="V17" s="15"/>
      <c r="W17" s="15">
        <f t="shared" si="8"/>
        <v>0</v>
      </c>
      <c r="X17" s="15">
        <f t="shared" ref="X17" si="26">IF(V16=FALSE,IF(C17&lt;&gt;"",IF(C17&gt;(22/24),C17-(22/24),0),0),0)</f>
        <v>0</v>
      </c>
      <c r="Y17" s="15">
        <f t="shared" ref="Y17" si="27">IF(V16=TRUE,IF(C16&lt;&gt;"",IF(C16&gt;(22/24),(22/24)-(12/24),C16-(12/24)),0),0)</f>
        <v>0.125</v>
      </c>
      <c r="Z17" s="15">
        <f t="shared" ref="Z17" si="28">IF(V16=TRUE,IF(C16&lt;&gt;"",IF(C16&gt;(22/24),C16-(22/24),0),0),0)</f>
        <v>0</v>
      </c>
      <c r="AA17" s="21"/>
      <c r="AB17" s="21"/>
      <c r="AC17" s="21"/>
      <c r="AD17" s="21"/>
      <c r="AF17" s="16">
        <v>6.25E-2</v>
      </c>
      <c r="AG17" s="11" t="s">
        <v>4</v>
      </c>
      <c r="AH17" s="16">
        <v>0.35416666666666669</v>
      </c>
      <c r="AI17" s="16">
        <v>0.71875</v>
      </c>
    </row>
    <row r="18" spans="1:35" x14ac:dyDescent="0.45">
      <c r="A18" s="5">
        <f>IF((EOMONTH($Q$2,0)-$Q$2)&gt;=$U18,$Q$2+$U18,"")</f>
        <v>45417</v>
      </c>
      <c r="B18" s="6">
        <f>IF(A18&lt;&gt;"",IF(R18=0,"",R18),"")</f>
        <v>0.79166666666666663</v>
      </c>
      <c r="C18" s="6">
        <f>IF(AND($A18&lt;&gt;"",$V18=FALSE),$Q$6,IF(R19=0,"",IF(Q19&gt;$Q$2+U18,R19+1,R19)))</f>
        <v>1.0416666666666667</v>
      </c>
      <c r="D18" s="30">
        <f>SUM(W18:Z19)</f>
        <v>0.25000000000000011</v>
      </c>
      <c r="E18" s="23" t="str">
        <f>IF(S18&lt;&gt;"",S18,"")</f>
        <v/>
      </c>
      <c r="F18" s="25">
        <f>IF(ROUNDUP(AA18*24,0)&gt;60,60,ROUNDUP(AA18*24,0))</f>
        <v>12</v>
      </c>
      <c r="G18" s="25" t="str">
        <f>IF(ROUNDUP(AA18*24,0)&gt;60,ROUNDUP(AA18*24,0)-60,"")</f>
        <v/>
      </c>
      <c r="H18" s="25">
        <f>IF(ROUNDUP(AB18*24,0)&gt;60,60,ROUNDUP(AB18*24,0))</f>
        <v>5</v>
      </c>
      <c r="I18" s="25" t="str">
        <f>IF(ROUNDUP(AB18*24,0)&gt;60,ROUNDUP(AB18*24,0)-60,"")</f>
        <v/>
      </c>
      <c r="J18" s="25">
        <f>IF(ROUNDUP(AC18*24,0)&gt;60,60,ROUNDUP(AC18*24,0))</f>
        <v>8</v>
      </c>
      <c r="K18" s="25" t="str">
        <f>IF(ROUNDUP(AC18*24,0)&gt;60,ROUNDUP(AC18*24,0)-60,"")</f>
        <v/>
      </c>
      <c r="L18" s="25">
        <f>IF(ROUNDUP(AD18*24,0)&gt;60,60,ROUNDUP(AD18*24,0))</f>
        <v>3</v>
      </c>
      <c r="M18" s="25" t="str">
        <f>IF(ROUNDUP(AD18*24,0)&gt;60,ROUNDUP(AD18*24,0)-60,"")</f>
        <v/>
      </c>
      <c r="P18" s="7" t="s">
        <v>26</v>
      </c>
      <c r="Q18" s="17">
        <f t="shared" si="2"/>
        <v>45417</v>
      </c>
      <c r="R18" s="8">
        <v>0.79166666666666663</v>
      </c>
      <c r="S18" s="27"/>
      <c r="U18" s="12">
        <v>4</v>
      </c>
      <c r="V18" s="13" t="b">
        <f t="shared" ref="V18" si="29">IF(A18&lt;&gt;"",IF(OR(WEEKDAY(A18)=1,WEEKDAY(A18)=7),TRUE,FALSE),"")</f>
        <v>1</v>
      </c>
      <c r="W18" s="13">
        <f t="shared" ref="W18" si="30">IF(V18=FALSE,IF(B18&lt;&gt;"",IF(B18&lt;(5/24),B19-(5/24),B19-B18),0),0)</f>
        <v>0</v>
      </c>
      <c r="X18" s="13">
        <f t="shared" ref="X18" si="31">IF(V18=FALSE,IF(B18&lt;&gt;"",IF(B18&lt;(5/24),(5/24)-B18,0),0),0)</f>
        <v>0</v>
      </c>
      <c r="Y18" s="13">
        <f t="shared" ref="Y18" si="32">IF(V18=TRUE,IF(B18&lt;&gt;"",IF(B18&lt;(5/24),(12/24)-(5/24),(12/24)-B18),0),0)</f>
        <v>-0.29166666666666663</v>
      </c>
      <c r="Z18" s="13">
        <f t="shared" ref="Z18" si="33">IF(V18=TRUE,IF(B18&lt;(5/24),(5/24)-B18,0),0)</f>
        <v>0</v>
      </c>
      <c r="AA18" s="20">
        <f>SUM(W18:W19,W10:W17)</f>
        <v>0.49791666666666656</v>
      </c>
      <c r="AB18" s="20">
        <f>SUM(X18:X19,X10:X17)</f>
        <v>0.20763888888888904</v>
      </c>
      <c r="AC18" s="20">
        <f>SUM(Y18:Y19,Y10:Y17)</f>
        <v>0.33333333333333331</v>
      </c>
      <c r="AD18" s="20">
        <f>SUM(Z18:Z19,Z10:Z17)</f>
        <v>0.12500000000000011</v>
      </c>
      <c r="AF18" s="16">
        <v>7.2916666666666699E-2</v>
      </c>
      <c r="AG18" s="11" t="s">
        <v>37</v>
      </c>
      <c r="AH18" s="16">
        <v>0.375</v>
      </c>
      <c r="AI18" s="16">
        <v>0.73958333333333337</v>
      </c>
    </row>
    <row r="19" spans="1:35" x14ac:dyDescent="0.45">
      <c r="A19" s="9" t="str">
        <f t="shared" ref="A19" si="34">IF(A18="","",TEXT(A18,"(aaa)"))</f>
        <v>(日)</v>
      </c>
      <c r="B19" s="6" t="str">
        <f>IF(AND($A18&lt;&gt;"",$V18=FALSE),$Q$7,IF($V18=TRUE,"---",""))</f>
        <v>---</v>
      </c>
      <c r="C19" s="6" t="str">
        <f>IF(AND(A18&lt;&gt;"",$V18=FALSE),IF(R19=0,"",IF(Q19&gt;$Q$2+U19,R19+1,R19)),IF($V18=TRUE,"---",""))</f>
        <v>---</v>
      </c>
      <c r="D19" s="31"/>
      <c r="E19" s="24"/>
      <c r="F19" s="25"/>
      <c r="G19" s="25"/>
      <c r="H19" s="25"/>
      <c r="I19" s="25"/>
      <c r="J19" s="25"/>
      <c r="K19" s="25"/>
      <c r="L19" s="25"/>
      <c r="M19" s="25"/>
      <c r="P19" s="7" t="s">
        <v>30</v>
      </c>
      <c r="Q19" s="17">
        <v>45418</v>
      </c>
      <c r="R19" s="8">
        <v>4.1666666666666664E-2</v>
      </c>
      <c r="S19" s="27"/>
      <c r="U19" s="14">
        <v>4</v>
      </c>
      <c r="V19" s="15"/>
      <c r="W19" s="15">
        <f t="shared" ref="W19" si="35">IF(V18=FALSE,IF(C19&lt;&gt;"",IF(C19&gt;(22/24),(22/24)-B19,C19-B19),0),0)</f>
        <v>0</v>
      </c>
      <c r="X19" s="15">
        <f t="shared" ref="X19" si="36">IF(V18=FALSE,IF(C19&lt;&gt;"",IF(C19&gt;(22/24),C19-(22/24),0),0),0)</f>
        <v>0</v>
      </c>
      <c r="Y19" s="15">
        <f t="shared" ref="Y19" si="37">IF(V18=TRUE,IF(C18&lt;&gt;"",IF(C18&gt;(22/24),(22/24)-(12/24),C18-(12/24)),0),0)</f>
        <v>0.41666666666666663</v>
      </c>
      <c r="Z19" s="15">
        <f t="shared" ref="Z19" si="38">IF(V18=TRUE,IF(C18&lt;&gt;"",IF(C18&gt;(22/24),C18-(22/24),0),0),0)</f>
        <v>0.12500000000000011</v>
      </c>
      <c r="AA19" s="21"/>
      <c r="AB19" s="21"/>
      <c r="AC19" s="21"/>
      <c r="AD19" s="21"/>
      <c r="AF19" s="16">
        <v>8.3333333333333301E-2</v>
      </c>
      <c r="AG19" s="11" t="s">
        <v>38</v>
      </c>
      <c r="AH19" s="16">
        <v>0.39583333333333331</v>
      </c>
      <c r="AI19" s="16">
        <v>0.76041666666666663</v>
      </c>
    </row>
    <row r="20" spans="1:35" x14ac:dyDescent="0.45">
      <c r="A20" s="5">
        <f>IF((EOMONTH($Q$2,0)-$Q$2)&gt;=$U20,$Q$2+$U20,"")</f>
        <v>45418</v>
      </c>
      <c r="B20" s="6" t="str">
        <f>IF(A20&lt;&gt;"",IF(R20=0,"",R20),"")</f>
        <v/>
      </c>
      <c r="C20" s="6">
        <f>IF(AND($A20&lt;&gt;"",$V20=FALSE),$Q$6,IF(R21=0,"",IF(Q21&gt;$Q$2+U20,R21+1,R21)))</f>
        <v>0.35416666666666669</v>
      </c>
      <c r="D20" s="30">
        <f>SUM(W20:Z21)</f>
        <v>0</v>
      </c>
      <c r="E20" s="23" t="str">
        <f>IF(S20&lt;&gt;"",S20,"")</f>
        <v/>
      </c>
      <c r="F20" s="25">
        <f>IF(ROUNDUP(AA20*24,0)&gt;60,60,ROUNDUP(AA20*24,0))</f>
        <v>12</v>
      </c>
      <c r="G20" s="25" t="str">
        <f>IF(ROUNDUP(AA20*24,0)&gt;60,ROUNDUP(AA20*24,0)-60,"")</f>
        <v/>
      </c>
      <c r="H20" s="25">
        <f>IF(ROUNDUP(AB20*24,0)&gt;60,60,ROUNDUP(AB20*24,0))</f>
        <v>5</v>
      </c>
      <c r="I20" s="25" t="str">
        <f>IF(ROUNDUP(AB20*24,0)&gt;60,ROUNDUP(AB20*24,0)-60,"")</f>
        <v/>
      </c>
      <c r="J20" s="25">
        <f>IF(ROUNDUP(AC20*24,0)&gt;60,60,ROUNDUP(AC20*24,0))</f>
        <v>8</v>
      </c>
      <c r="K20" s="25" t="str">
        <f>IF(ROUNDUP(AC20*24,0)&gt;60,ROUNDUP(AC20*24,0)-60,"")</f>
        <v/>
      </c>
      <c r="L20" s="25">
        <f>IF(ROUNDUP(AD20*24,0)&gt;60,60,ROUNDUP(AD20*24,0))</f>
        <v>3</v>
      </c>
      <c r="M20" s="25" t="str">
        <f>IF(ROUNDUP(AD20*24,0)&gt;60,ROUNDUP(AD20*24,0)-60,"")</f>
        <v/>
      </c>
      <c r="P20" s="7" t="s">
        <v>26</v>
      </c>
      <c r="Q20" s="17">
        <f t="shared" si="2"/>
        <v>45418</v>
      </c>
      <c r="R20" s="8"/>
      <c r="S20" s="27"/>
      <c r="U20" s="12">
        <v>5</v>
      </c>
      <c r="V20" s="13" t="b">
        <f t="shared" ref="V20" si="39">IF(A20&lt;&gt;"",IF(OR(WEEKDAY(A20)=1,WEEKDAY(A20)=7),TRUE,FALSE),"")</f>
        <v>0</v>
      </c>
      <c r="W20" s="13">
        <f t="shared" ref="W20" si="40">IF(V20=FALSE,IF(B20&lt;&gt;"",IF(B20&lt;(5/24),B21-(5/24),B21-B20),0),0)</f>
        <v>0</v>
      </c>
      <c r="X20" s="13">
        <f t="shared" ref="X20" si="41">IF(V20=FALSE,IF(B20&lt;&gt;"",IF(B20&lt;(5/24),(5/24)-B20,0),0),0)</f>
        <v>0</v>
      </c>
      <c r="Y20" s="13">
        <f t="shared" ref="Y20" si="42">IF(V20=TRUE,IF(B20&lt;&gt;"",IF(B20&lt;(5/24),(12/24)-(5/24),(12/24)-B20),0),0)</f>
        <v>0</v>
      </c>
      <c r="Z20" s="13">
        <f t="shared" ref="Z20" si="43">IF(V20=TRUE,IF(B20&lt;(5/24),(5/24)-B20,0),0)</f>
        <v>0</v>
      </c>
      <c r="AA20" s="20">
        <f>SUM(W20:W21,W10:W19)</f>
        <v>0.49791666666666656</v>
      </c>
      <c r="AB20" s="20">
        <f>SUM(X20:X21,X10:X19)</f>
        <v>0.20763888888888904</v>
      </c>
      <c r="AC20" s="20">
        <f>SUM(Y20:Y21,Y10:Y19)</f>
        <v>0.33333333333333331</v>
      </c>
      <c r="AD20" s="20">
        <f>SUM(Z20:Z21,Z10:Z19)</f>
        <v>0.12500000000000011</v>
      </c>
      <c r="AF20" s="16">
        <v>9.375E-2</v>
      </c>
      <c r="AG20" s="11" t="s">
        <v>39</v>
      </c>
      <c r="AH20" s="16">
        <v>0.41666666666666669</v>
      </c>
      <c r="AI20" s="16">
        <v>0.78125</v>
      </c>
    </row>
    <row r="21" spans="1:35" x14ac:dyDescent="0.45">
      <c r="A21" s="9" t="str">
        <f t="shared" ref="A21" si="44">IF(A20="","",TEXT(A20,"(aaa)"))</f>
        <v>(月)</v>
      </c>
      <c r="B21" s="6">
        <f>IF(AND($A20&lt;&gt;"",$V20=FALSE),$Q$7,IF($V20=TRUE,"---",""))</f>
        <v>0.71875</v>
      </c>
      <c r="C21" s="6" t="str">
        <f>IF(AND(A20&lt;&gt;"",$V20=FALSE),IF(R21=0,"",IF(Q21&gt;$Q$2+U21,R21+1,R21)),IF($V20=TRUE,"---",""))</f>
        <v/>
      </c>
      <c r="D21" s="31"/>
      <c r="E21" s="24"/>
      <c r="F21" s="25"/>
      <c r="G21" s="25"/>
      <c r="H21" s="25"/>
      <c r="I21" s="25"/>
      <c r="J21" s="25"/>
      <c r="K21" s="25"/>
      <c r="L21" s="25"/>
      <c r="M21" s="25"/>
      <c r="P21" s="7" t="s">
        <v>30</v>
      </c>
      <c r="Q21" s="17">
        <f t="shared" si="2"/>
        <v>45418</v>
      </c>
      <c r="R21" s="8"/>
      <c r="S21" s="27"/>
      <c r="U21" s="14">
        <v>5</v>
      </c>
      <c r="V21" s="15"/>
      <c r="W21" s="15">
        <f t="shared" ref="W21" si="45">IF(V20=FALSE,IF(C21&lt;&gt;"",IF(C21&gt;(22/24),(22/24)-B21,C21-B21),0),0)</f>
        <v>0</v>
      </c>
      <c r="X21" s="15">
        <f t="shared" ref="X21" si="46">IF(V20=FALSE,IF(C21&lt;&gt;"",IF(C21&gt;(22/24),C21-(22/24),0),0),0)</f>
        <v>0</v>
      </c>
      <c r="Y21" s="15">
        <f t="shared" ref="Y21" si="47">IF(V20=TRUE,IF(C20&lt;&gt;"",IF(C20&gt;(22/24),(22/24)-(12/24),C20-(12/24)),0),0)</f>
        <v>0</v>
      </c>
      <c r="Z21" s="15">
        <f t="shared" ref="Z21" si="48">IF(V20=TRUE,IF(C20&lt;&gt;"",IF(C20&gt;(22/24),C20-(22/24),0),0),0)</f>
        <v>0</v>
      </c>
      <c r="AA21" s="21"/>
      <c r="AB21" s="21"/>
      <c r="AC21" s="21"/>
      <c r="AD21" s="21"/>
      <c r="AF21" s="16">
        <v>0.104166666666667</v>
      </c>
      <c r="AG21" s="11" t="s">
        <v>40</v>
      </c>
      <c r="AH21" s="16">
        <v>0.4375</v>
      </c>
      <c r="AI21" s="16">
        <v>0.80208333333333337</v>
      </c>
    </row>
    <row r="22" spans="1:35" x14ac:dyDescent="0.45">
      <c r="A22" s="5">
        <f>IF((EOMONTH($Q$2,0)-$Q$2)&gt;=$U22,$Q$2+$U22,"")</f>
        <v>45419</v>
      </c>
      <c r="B22" s="6" t="str">
        <f>IF(A22&lt;&gt;"",IF(R22=0,"",R22),"")</f>
        <v/>
      </c>
      <c r="C22" s="6">
        <f>IF(AND($A22&lt;&gt;"",$V22=FALSE),$Q$6,IF(R23=0,"",IF(Q23&gt;$Q$2+U22,R23+1,R23)))</f>
        <v>0.35416666666666669</v>
      </c>
      <c r="D22" s="30">
        <f>SUM(W22:Z23)</f>
        <v>0</v>
      </c>
      <c r="E22" s="23" t="str">
        <f>IF(S22&lt;&gt;"",S22,"")</f>
        <v/>
      </c>
      <c r="F22" s="25">
        <f>IF(ROUNDUP(AA22*24,0)&gt;60,60,ROUNDUP(AA22*24,0))</f>
        <v>12</v>
      </c>
      <c r="G22" s="25" t="str">
        <f>IF(ROUNDUP(AA22*24,0)&gt;60,ROUNDUP(AA22*24,0)-60,"")</f>
        <v/>
      </c>
      <c r="H22" s="25">
        <f>IF(ROUNDUP(AB22*24,0)&gt;60,60,ROUNDUP(AB22*24,0))</f>
        <v>5</v>
      </c>
      <c r="I22" s="25" t="str">
        <f>IF(ROUNDUP(AB22*24,0)&gt;60,ROUNDUP(AB22*24,0)-60,"")</f>
        <v/>
      </c>
      <c r="J22" s="25">
        <f>IF(ROUNDUP(AC22*24,0)&gt;60,60,ROUNDUP(AC22*24,0))</f>
        <v>8</v>
      </c>
      <c r="K22" s="25" t="str">
        <f>IF(ROUNDUP(AC22*24,0)&gt;60,ROUNDUP(AC22*24,0)-60,"")</f>
        <v/>
      </c>
      <c r="L22" s="25">
        <f>IF(ROUNDUP(AD22*24,0)&gt;60,60,ROUNDUP(AD22*24,0))</f>
        <v>3</v>
      </c>
      <c r="M22" s="25" t="str">
        <f>IF(ROUNDUP(AD22*24,0)&gt;60,ROUNDUP(AD22*24,0)-60,"")</f>
        <v/>
      </c>
      <c r="P22" s="7" t="s">
        <v>26</v>
      </c>
      <c r="Q22" s="17">
        <f t="shared" si="2"/>
        <v>45419</v>
      </c>
      <c r="R22" s="8"/>
      <c r="S22" s="27"/>
      <c r="U22" s="12">
        <v>6</v>
      </c>
      <c r="V22" s="13" t="b">
        <f t="shared" ref="V22" si="49">IF(A22&lt;&gt;"",IF(OR(WEEKDAY(A22)=1,WEEKDAY(A22)=7),TRUE,FALSE),"")</f>
        <v>0</v>
      </c>
      <c r="W22" s="13">
        <f t="shared" ref="W22" si="50">IF(V22=FALSE,IF(B22&lt;&gt;"",IF(B22&lt;(5/24),B23-(5/24),B23-B22),0),0)</f>
        <v>0</v>
      </c>
      <c r="X22" s="13">
        <f t="shared" ref="X22" si="51">IF(V22=FALSE,IF(B22&lt;&gt;"",IF(B22&lt;(5/24),(5/24)-B22,0),0),0)</f>
        <v>0</v>
      </c>
      <c r="Y22" s="13">
        <f t="shared" ref="Y22" si="52">IF(V22=TRUE,IF(B22&lt;&gt;"",IF(B22&lt;(5/24),(12/24)-(5/24),(12/24)-B22),0),0)</f>
        <v>0</v>
      </c>
      <c r="Z22" s="13">
        <f t="shared" ref="Z22" si="53">IF(V22=TRUE,IF(B22&lt;(5/24),(5/24)-B22,0),0)</f>
        <v>0</v>
      </c>
      <c r="AA22" s="20">
        <f>SUM(W22:W23,W10:W21)</f>
        <v>0.49791666666666656</v>
      </c>
      <c r="AB22" s="20">
        <f>SUM(X22:X23,X10:X21)</f>
        <v>0.20763888888888904</v>
      </c>
      <c r="AC22" s="20">
        <f>SUM(Y22:Y23,Y10:Y21)</f>
        <v>0.33333333333333331</v>
      </c>
      <c r="AD22" s="20">
        <f>SUM(Z22:Z23,Z10:Z21)</f>
        <v>0.12500000000000011</v>
      </c>
      <c r="AF22" s="16">
        <v>0.114583333333333</v>
      </c>
      <c r="AG22" s="11" t="s">
        <v>41</v>
      </c>
      <c r="AH22" s="16">
        <v>0.45833333333333331</v>
      </c>
      <c r="AI22" s="16">
        <v>0.82291666666666663</v>
      </c>
    </row>
    <row r="23" spans="1:35" x14ac:dyDescent="0.45">
      <c r="A23" s="9" t="str">
        <f t="shared" ref="A23" si="54">IF(A22="","",TEXT(A22,"(aaa)"))</f>
        <v>(火)</v>
      </c>
      <c r="B23" s="6">
        <f>IF(AND($A22&lt;&gt;"",$V22=FALSE),$Q$7,IF($V22=TRUE,"---",""))</f>
        <v>0.71875</v>
      </c>
      <c r="C23" s="6" t="str">
        <f>IF(AND(A22&lt;&gt;"",$V22=FALSE),IF(R23=0,"",IF(Q23&gt;$Q$2+U23,R23+1,R23)),IF($V22=TRUE,"---",""))</f>
        <v/>
      </c>
      <c r="D23" s="31"/>
      <c r="E23" s="24"/>
      <c r="F23" s="25"/>
      <c r="G23" s="25"/>
      <c r="H23" s="25"/>
      <c r="I23" s="25"/>
      <c r="J23" s="25"/>
      <c r="K23" s="25"/>
      <c r="L23" s="25"/>
      <c r="M23" s="25"/>
      <c r="P23" s="7" t="s">
        <v>30</v>
      </c>
      <c r="Q23" s="17">
        <f t="shared" si="2"/>
        <v>45419</v>
      </c>
      <c r="R23" s="8"/>
      <c r="S23" s="27"/>
      <c r="U23" s="14">
        <v>6</v>
      </c>
      <c r="V23" s="15"/>
      <c r="W23" s="15">
        <f t="shared" ref="W23" si="55">IF(V22=FALSE,IF(C23&lt;&gt;"",IF(C23&gt;(22/24),(22/24)-B23,C23-B23),0),0)</f>
        <v>0</v>
      </c>
      <c r="X23" s="15">
        <f t="shared" ref="X23" si="56">IF(V22=FALSE,IF(C23&lt;&gt;"",IF(C23&gt;(22/24),C23-(22/24),0),0),0)</f>
        <v>0</v>
      </c>
      <c r="Y23" s="15">
        <f t="shared" ref="Y23" si="57">IF(V22=TRUE,IF(C22&lt;&gt;"",IF(C22&gt;(22/24),(22/24)-(12/24),C22-(12/24)),0),0)</f>
        <v>0</v>
      </c>
      <c r="Z23" s="15">
        <f t="shared" ref="Z23" si="58">IF(V22=TRUE,IF(C22&lt;&gt;"",IF(C22&gt;(22/24),C22-(22/24),0),0),0)</f>
        <v>0</v>
      </c>
      <c r="AA23" s="21"/>
      <c r="AB23" s="21"/>
      <c r="AC23" s="21"/>
      <c r="AD23" s="21"/>
      <c r="AF23" s="16">
        <v>0.125</v>
      </c>
      <c r="AG23" s="11" t="s">
        <v>42</v>
      </c>
      <c r="AH23" s="16">
        <v>0.47916666666666669</v>
      </c>
      <c r="AI23" s="16">
        <v>0.84375</v>
      </c>
    </row>
    <row r="24" spans="1:35" x14ac:dyDescent="0.45">
      <c r="A24" s="5">
        <f>IF((EOMONTH($Q$2,0)-$Q$2)&gt;=$U24,$Q$2+$U24,"")</f>
        <v>45420</v>
      </c>
      <c r="B24" s="6" t="str">
        <f>IF(A24&lt;&gt;"",IF(R24=0,"",R24),"")</f>
        <v/>
      </c>
      <c r="C24" s="6">
        <f>IF(AND($A24&lt;&gt;"",$V24=FALSE),$Q$6,IF(R25=0,"",IF(Q25&gt;$Q$2+U24,R25+1,R25)))</f>
        <v>0.35416666666666669</v>
      </c>
      <c r="D24" s="30">
        <f>SUM(W24:Z25)</f>
        <v>0</v>
      </c>
      <c r="E24" s="23" t="str">
        <f>IF(S24&lt;&gt;"",S24,"")</f>
        <v/>
      </c>
      <c r="F24" s="25">
        <f>IF(ROUNDUP(AA24*24,0)&gt;60,60,ROUNDUP(AA24*24,0))</f>
        <v>12</v>
      </c>
      <c r="G24" s="25" t="str">
        <f>IF(ROUNDUP(AA24*24,0)&gt;60,ROUNDUP(AA24*24,0)-60,"")</f>
        <v/>
      </c>
      <c r="H24" s="25">
        <f>IF(ROUNDUP(AB24*24,0)&gt;60,60,ROUNDUP(AB24*24,0))</f>
        <v>5</v>
      </c>
      <c r="I24" s="25" t="str">
        <f>IF(ROUNDUP(AB24*24,0)&gt;60,ROUNDUP(AB24*24,0)-60,"")</f>
        <v/>
      </c>
      <c r="J24" s="25">
        <f>IF(ROUNDUP(AC24*24,0)&gt;60,60,ROUNDUP(AC24*24,0))</f>
        <v>8</v>
      </c>
      <c r="K24" s="25" t="str">
        <f>IF(ROUNDUP(AC24*24,0)&gt;60,ROUNDUP(AC24*24,0)-60,"")</f>
        <v/>
      </c>
      <c r="L24" s="25">
        <f>IF(ROUNDUP(AD24*24,0)&gt;60,60,ROUNDUP(AD24*24,0))</f>
        <v>3</v>
      </c>
      <c r="M24" s="25" t="str">
        <f>IF(ROUNDUP(AD24*24,0)&gt;60,ROUNDUP(AD24*24,0)-60,"")</f>
        <v/>
      </c>
      <c r="P24" s="7" t="s">
        <v>26</v>
      </c>
      <c r="Q24" s="17">
        <f t="shared" si="2"/>
        <v>45420</v>
      </c>
      <c r="R24" s="8"/>
      <c r="S24" s="27"/>
      <c r="U24" s="12">
        <v>7</v>
      </c>
      <c r="V24" s="13" t="b">
        <f t="shared" ref="V24" si="59">IF(A24&lt;&gt;"",IF(OR(WEEKDAY(A24)=1,WEEKDAY(A24)=7),TRUE,FALSE),"")</f>
        <v>0</v>
      </c>
      <c r="W24" s="13">
        <f t="shared" ref="W24" si="60">IF(V24=FALSE,IF(B24&lt;&gt;"",IF(B24&lt;(5/24),B25-(5/24),B25-B24),0),0)</f>
        <v>0</v>
      </c>
      <c r="X24" s="13">
        <f t="shared" ref="X24" si="61">IF(V24=FALSE,IF(B24&lt;&gt;"",IF(B24&lt;(5/24),(5/24)-B24,0),0),0)</f>
        <v>0</v>
      </c>
      <c r="Y24" s="13">
        <f t="shared" ref="Y24" si="62">IF(V24=TRUE,IF(B24&lt;&gt;"",IF(B24&lt;(5/24),(12/24)-(5/24),(12/24)-B24),0),0)</f>
        <v>0</v>
      </c>
      <c r="Z24" s="13">
        <f t="shared" ref="Z24" si="63">IF(V24=TRUE,IF(B24&lt;(5/24),(5/24)-B24,0),0)</f>
        <v>0</v>
      </c>
      <c r="AA24" s="20">
        <f>SUM(W24:W25,W10:W23)</f>
        <v>0.49791666666666656</v>
      </c>
      <c r="AB24" s="20">
        <f>SUM(X24:X25,X10:X23)</f>
        <v>0.20763888888888904</v>
      </c>
      <c r="AC24" s="20">
        <f>SUM(Y24:Y25,Y10:Y23)</f>
        <v>0.33333333333333331</v>
      </c>
      <c r="AD24" s="20">
        <f>SUM(Z24:Z25,Z10:Z23)</f>
        <v>0.12500000000000011</v>
      </c>
      <c r="AF24" s="16">
        <v>0.13541666666666699</v>
      </c>
      <c r="AG24" s="11" t="s">
        <v>43</v>
      </c>
      <c r="AH24" s="16">
        <v>0.5</v>
      </c>
      <c r="AI24" s="16">
        <v>0.86458333333333337</v>
      </c>
    </row>
    <row r="25" spans="1:35" x14ac:dyDescent="0.45">
      <c r="A25" s="9" t="str">
        <f t="shared" ref="A25" si="64">IF(A24="","",TEXT(A24,"(aaa)"))</f>
        <v>(水)</v>
      </c>
      <c r="B25" s="6">
        <f>IF(AND($A24&lt;&gt;"",$V24=FALSE),$Q$7,IF($V24=TRUE,"---",""))</f>
        <v>0.71875</v>
      </c>
      <c r="C25" s="6" t="str">
        <f>IF(AND(A24&lt;&gt;"",$V24=FALSE),IF(R25=0,"",IF(Q25&gt;$Q$2+U25,R25+1,R25)),IF($V24=TRUE,"---",""))</f>
        <v/>
      </c>
      <c r="D25" s="31"/>
      <c r="E25" s="24"/>
      <c r="F25" s="25"/>
      <c r="G25" s="25"/>
      <c r="H25" s="25"/>
      <c r="I25" s="25"/>
      <c r="J25" s="25"/>
      <c r="K25" s="25"/>
      <c r="L25" s="25"/>
      <c r="M25" s="25"/>
      <c r="P25" s="7" t="s">
        <v>30</v>
      </c>
      <c r="Q25" s="17">
        <f t="shared" si="2"/>
        <v>45420</v>
      </c>
      <c r="R25" s="8"/>
      <c r="S25" s="27"/>
      <c r="U25" s="14">
        <v>7</v>
      </c>
      <c r="V25" s="15"/>
      <c r="W25" s="15">
        <f t="shared" ref="W25" si="65">IF(V24=FALSE,IF(C25&lt;&gt;"",IF(C25&gt;(22/24),(22/24)-B25,C25-B25),0),0)</f>
        <v>0</v>
      </c>
      <c r="X25" s="15">
        <f t="shared" ref="X25" si="66">IF(V24=FALSE,IF(C25&lt;&gt;"",IF(C25&gt;(22/24),C25-(22/24),0),0),0)</f>
        <v>0</v>
      </c>
      <c r="Y25" s="15">
        <f t="shared" ref="Y25" si="67">IF(V24=TRUE,IF(C24&lt;&gt;"",IF(C24&gt;(22/24),(22/24)-(12/24),C24-(12/24)),0),0)</f>
        <v>0</v>
      </c>
      <c r="Z25" s="15">
        <f t="shared" ref="Z25" si="68">IF(V24=TRUE,IF(C24&lt;&gt;"",IF(C24&gt;(22/24),C24-(22/24),0),0),0)</f>
        <v>0</v>
      </c>
      <c r="AA25" s="21"/>
      <c r="AB25" s="21"/>
      <c r="AC25" s="21"/>
      <c r="AD25" s="21"/>
      <c r="AF25" s="16">
        <v>0.14583333333333301</v>
      </c>
      <c r="AG25" s="11" t="s">
        <v>44</v>
      </c>
      <c r="AH25" s="16">
        <v>0.52083333333333337</v>
      </c>
      <c r="AI25" s="16">
        <v>0.88541666666666663</v>
      </c>
    </row>
    <row r="26" spans="1:35" x14ac:dyDescent="0.45">
      <c r="A26" s="5">
        <f>IF((EOMONTH($Q$2,0)-$Q$2)&gt;=$U26,$Q$2+$U26,"")</f>
        <v>45421</v>
      </c>
      <c r="B26" s="6" t="str">
        <f>IF(A26&lt;&gt;"",IF(R26=0,"",R26),"")</f>
        <v/>
      </c>
      <c r="C26" s="6">
        <f>IF(AND($A26&lt;&gt;"",$V26=FALSE),$Q$6,IF(R27=0,"",IF(Q27&gt;$Q$2+U26,R27+1,R27)))</f>
        <v>0.35416666666666669</v>
      </c>
      <c r="D26" s="30">
        <f>SUM(W26:Z27)</f>
        <v>0</v>
      </c>
      <c r="E26" s="23" t="str">
        <f>IF(S26&lt;&gt;"",S26,"")</f>
        <v/>
      </c>
      <c r="F26" s="25">
        <f>IF(ROUNDUP(AA26*24,0)&gt;60,60,ROUNDUP(AA26*24,0))</f>
        <v>12</v>
      </c>
      <c r="G26" s="25" t="str">
        <f>IF(ROUNDUP(AA26*24,0)&gt;60,ROUNDUP(AA26*24,0)-60,"")</f>
        <v/>
      </c>
      <c r="H26" s="25">
        <f>IF(ROUNDUP(AB26*24,0)&gt;60,60,ROUNDUP(AB26*24,0))</f>
        <v>5</v>
      </c>
      <c r="I26" s="25" t="str">
        <f>IF(ROUNDUP(AB26*24,0)&gt;60,ROUNDUP(AB26*24,0)-60,"")</f>
        <v/>
      </c>
      <c r="J26" s="25">
        <f>IF(ROUNDUP(AC26*24,0)&gt;60,60,ROUNDUP(AC26*24,0))</f>
        <v>8</v>
      </c>
      <c r="K26" s="25" t="str">
        <f>IF(ROUNDUP(AC26*24,0)&gt;60,ROUNDUP(AC26*24,0)-60,"")</f>
        <v/>
      </c>
      <c r="L26" s="25">
        <f>IF(ROUNDUP(AD26*24,0)&gt;60,60,ROUNDUP(AD26*24,0))</f>
        <v>3</v>
      </c>
      <c r="M26" s="25" t="str">
        <f>IF(ROUNDUP(AD26*24,0)&gt;60,ROUNDUP(AD26*24,0)-60,"")</f>
        <v/>
      </c>
      <c r="P26" s="7" t="s">
        <v>26</v>
      </c>
      <c r="Q26" s="17">
        <f t="shared" si="2"/>
        <v>45421</v>
      </c>
      <c r="R26" s="8"/>
      <c r="S26" s="27"/>
      <c r="U26" s="12">
        <v>8</v>
      </c>
      <c r="V26" s="13" t="b">
        <f t="shared" ref="V26" si="69">IF(A26&lt;&gt;"",IF(OR(WEEKDAY(A26)=1,WEEKDAY(A26)=7),TRUE,FALSE),"")</f>
        <v>0</v>
      </c>
      <c r="W26" s="13">
        <f t="shared" ref="W26" si="70">IF(V26=FALSE,IF(B26&lt;&gt;"",IF(B26&lt;(5/24),B27-(5/24),B27-B26),0),0)</f>
        <v>0</v>
      </c>
      <c r="X26" s="13">
        <f t="shared" ref="X26" si="71">IF(V26=FALSE,IF(B26&lt;&gt;"",IF(B26&lt;(5/24),(5/24)-B26,0),0),0)</f>
        <v>0</v>
      </c>
      <c r="Y26" s="13">
        <f t="shared" ref="Y26" si="72">IF(V26=TRUE,IF(B26&lt;&gt;"",IF(B26&lt;(5/24),(12/24)-(5/24),(12/24)-B26),0),0)</f>
        <v>0</v>
      </c>
      <c r="Z26" s="13">
        <f t="shared" ref="Z26" si="73">IF(V26=TRUE,IF(B26&lt;(5/24),(5/24)-B26,0),0)</f>
        <v>0</v>
      </c>
      <c r="AA26" s="20">
        <f>SUM(W26:W27,W10:W25)</f>
        <v>0.49791666666666656</v>
      </c>
      <c r="AB26" s="20">
        <f>SUM(X26:X27,X10:X25)</f>
        <v>0.20763888888888904</v>
      </c>
      <c r="AC26" s="20">
        <f>SUM(Y26:Y27,Y10:Y25)</f>
        <v>0.33333333333333331</v>
      </c>
      <c r="AD26" s="20">
        <f>SUM(Z26:Z27,Z10:Z25)</f>
        <v>0.12500000000000011</v>
      </c>
      <c r="AF26" s="16">
        <v>0.15625</v>
      </c>
      <c r="AG26" s="11" t="s">
        <v>45</v>
      </c>
      <c r="AH26" s="16">
        <v>0.54166666666666663</v>
      </c>
      <c r="AI26" s="16">
        <v>0.90625</v>
      </c>
    </row>
    <row r="27" spans="1:35" x14ac:dyDescent="0.45">
      <c r="A27" s="9" t="str">
        <f t="shared" ref="A27" si="74">IF(A26="","",TEXT(A26,"(aaa)"))</f>
        <v>(木)</v>
      </c>
      <c r="B27" s="6">
        <f>IF(AND($A26&lt;&gt;"",$V26=FALSE),$Q$7,IF($V26=TRUE,"---",""))</f>
        <v>0.71875</v>
      </c>
      <c r="C27" s="6" t="str">
        <f>IF(AND(A26&lt;&gt;"",$V26=FALSE),IF(R27=0,"",IF(Q27&gt;$Q$2+U27,R27+1,R27)),IF($V26=TRUE,"---",""))</f>
        <v/>
      </c>
      <c r="D27" s="31"/>
      <c r="E27" s="24"/>
      <c r="F27" s="25"/>
      <c r="G27" s="25"/>
      <c r="H27" s="25"/>
      <c r="I27" s="25"/>
      <c r="J27" s="25"/>
      <c r="K27" s="25"/>
      <c r="L27" s="25"/>
      <c r="M27" s="25"/>
      <c r="P27" s="7" t="s">
        <v>30</v>
      </c>
      <c r="Q27" s="17">
        <f t="shared" si="2"/>
        <v>45421</v>
      </c>
      <c r="R27" s="8"/>
      <c r="S27" s="27"/>
      <c r="U27" s="14">
        <v>8</v>
      </c>
      <c r="V27" s="15"/>
      <c r="W27" s="15">
        <f t="shared" ref="W27" si="75">IF(V26=FALSE,IF(C27&lt;&gt;"",IF(C27&gt;(22/24),(22/24)-B27,C27-B27),0),0)</f>
        <v>0</v>
      </c>
      <c r="X27" s="15">
        <f t="shared" ref="X27" si="76">IF(V26=FALSE,IF(C27&lt;&gt;"",IF(C27&gt;(22/24),C27-(22/24),0),0),0)</f>
        <v>0</v>
      </c>
      <c r="Y27" s="15">
        <f t="shared" ref="Y27" si="77">IF(V26=TRUE,IF(C26&lt;&gt;"",IF(C26&gt;(22/24),(22/24)-(12/24),C26-(12/24)),0),0)</f>
        <v>0</v>
      </c>
      <c r="Z27" s="15">
        <f t="shared" ref="Z27" si="78">IF(V26=TRUE,IF(C26&lt;&gt;"",IF(C26&gt;(22/24),C26-(22/24),0),0),0)</f>
        <v>0</v>
      </c>
      <c r="AA27" s="21"/>
      <c r="AB27" s="21"/>
      <c r="AC27" s="21"/>
      <c r="AD27" s="21"/>
      <c r="AF27" s="16">
        <v>0.16666666666666699</v>
      </c>
    </row>
    <row r="28" spans="1:35" x14ac:dyDescent="0.45">
      <c r="A28" s="5">
        <f>IF((EOMONTH($Q$2,0)-$Q$2)&gt;=$U28,$Q$2+$U28,"")</f>
        <v>45422</v>
      </c>
      <c r="B28" s="6" t="str">
        <f>IF(A28&lt;&gt;"",IF(R28=0,"",R28),"")</f>
        <v/>
      </c>
      <c r="C28" s="6">
        <f>IF(AND($A28&lt;&gt;"",$V28=FALSE),$Q$6,IF(R29=0,"",IF(Q29&gt;$Q$2+U28,R29+1,R29)))</f>
        <v>0.35416666666666669</v>
      </c>
      <c r="D28" s="30">
        <f>SUM(W28:Z29)</f>
        <v>0</v>
      </c>
      <c r="E28" s="23" t="str">
        <f>IF(S28&lt;&gt;"",S28,"")</f>
        <v/>
      </c>
      <c r="F28" s="25">
        <f>IF(ROUNDUP(AA28*24,0)&gt;60,60,ROUNDUP(AA28*24,0))</f>
        <v>12</v>
      </c>
      <c r="G28" s="25" t="str">
        <f>IF(ROUNDUP(AA28*24,0)&gt;60,ROUNDUP(AA28*24,0)-60,"")</f>
        <v/>
      </c>
      <c r="H28" s="25">
        <f>IF(ROUNDUP(AB28*24,0)&gt;60,60,ROUNDUP(AB28*24,0))</f>
        <v>5</v>
      </c>
      <c r="I28" s="25" t="str">
        <f>IF(ROUNDUP(AB28*24,0)&gt;60,ROUNDUP(AB28*24,0)-60,"")</f>
        <v/>
      </c>
      <c r="J28" s="25">
        <f>IF(ROUNDUP(AC28*24,0)&gt;60,60,ROUNDUP(AC28*24,0))</f>
        <v>8</v>
      </c>
      <c r="K28" s="25" t="str">
        <f>IF(ROUNDUP(AC28*24,0)&gt;60,ROUNDUP(AC28*24,0)-60,"")</f>
        <v/>
      </c>
      <c r="L28" s="25">
        <f>IF(ROUNDUP(AD28*24,0)&gt;60,60,ROUNDUP(AD28*24,0))</f>
        <v>3</v>
      </c>
      <c r="M28" s="25" t="str">
        <f>IF(ROUNDUP(AD28*24,0)&gt;60,ROUNDUP(AD28*24,0)-60,"")</f>
        <v/>
      </c>
      <c r="P28" s="7" t="s">
        <v>26</v>
      </c>
      <c r="Q28" s="17">
        <f t="shared" si="2"/>
        <v>45422</v>
      </c>
      <c r="R28" s="8"/>
      <c r="S28" s="27"/>
      <c r="U28" s="12">
        <v>9</v>
      </c>
      <c r="V28" s="13" t="b">
        <f t="shared" ref="V28" si="79">IF(A28&lt;&gt;"",IF(OR(WEEKDAY(A28)=1,WEEKDAY(A28)=7),TRUE,FALSE),"")</f>
        <v>0</v>
      </c>
      <c r="W28" s="13">
        <f t="shared" ref="W28" si="80">IF(V28=FALSE,IF(B28&lt;&gt;"",IF(B28&lt;(5/24),B29-(5/24),B29-B28),0),0)</f>
        <v>0</v>
      </c>
      <c r="X28" s="13">
        <f t="shared" ref="X28" si="81">IF(V28=FALSE,IF(B28&lt;&gt;"",IF(B28&lt;(5/24),(5/24)-B28,0),0),0)</f>
        <v>0</v>
      </c>
      <c r="Y28" s="13">
        <f t="shared" ref="Y28" si="82">IF(V28=TRUE,IF(B28&lt;&gt;"",IF(B28&lt;(5/24),(12/24)-(5/24),(12/24)-B28),0),0)</f>
        <v>0</v>
      </c>
      <c r="Z28" s="13">
        <f t="shared" ref="Z28" si="83">IF(V28=TRUE,IF(B28&lt;(5/24),(5/24)-B28,0),0)</f>
        <v>0</v>
      </c>
      <c r="AA28" s="20">
        <f>SUM(W28:W29,W10:W27)</f>
        <v>0.49791666666666656</v>
      </c>
      <c r="AB28" s="20">
        <f>SUM(X28:X29,X10:X27)</f>
        <v>0.20763888888888904</v>
      </c>
      <c r="AC28" s="20">
        <f>SUM(Y28:Y29,Y10:Y27)</f>
        <v>0.33333333333333331</v>
      </c>
      <c r="AD28" s="20">
        <f>SUM(Z28:Z29,Z10:Z27)</f>
        <v>0.12500000000000011</v>
      </c>
      <c r="AF28" s="16">
        <v>0.17708333333333301</v>
      </c>
    </row>
    <row r="29" spans="1:35" x14ac:dyDescent="0.45">
      <c r="A29" s="9" t="str">
        <f t="shared" ref="A29" si="84">IF(A28="","",TEXT(A28,"(aaa)"))</f>
        <v>(金)</v>
      </c>
      <c r="B29" s="6">
        <f>IF(AND($A28&lt;&gt;"",$V28=FALSE),$Q$7,IF($V28=TRUE,"---",""))</f>
        <v>0.71875</v>
      </c>
      <c r="C29" s="6" t="str">
        <f>IF(AND(A28&lt;&gt;"",$V28=FALSE),IF(R29=0,"",IF(Q29&gt;$Q$2+U29,R29+1,R29)),IF($V28=TRUE,"---",""))</f>
        <v/>
      </c>
      <c r="D29" s="31"/>
      <c r="E29" s="24"/>
      <c r="F29" s="25"/>
      <c r="G29" s="25"/>
      <c r="H29" s="25"/>
      <c r="I29" s="25"/>
      <c r="J29" s="25"/>
      <c r="K29" s="25"/>
      <c r="L29" s="25"/>
      <c r="M29" s="25"/>
      <c r="P29" s="7" t="s">
        <v>30</v>
      </c>
      <c r="Q29" s="17">
        <f t="shared" si="2"/>
        <v>45422</v>
      </c>
      <c r="R29" s="8"/>
      <c r="S29" s="27"/>
      <c r="U29" s="14">
        <v>9</v>
      </c>
      <c r="V29" s="15"/>
      <c r="W29" s="15">
        <f t="shared" ref="W29" si="85">IF(V28=FALSE,IF(C29&lt;&gt;"",IF(C29&gt;(22/24),(22/24)-B29,C29-B29),0),0)</f>
        <v>0</v>
      </c>
      <c r="X29" s="15">
        <f t="shared" ref="X29" si="86">IF(V28=FALSE,IF(C29&lt;&gt;"",IF(C29&gt;(22/24),C29-(22/24),0),0),0)</f>
        <v>0</v>
      </c>
      <c r="Y29" s="15">
        <f t="shared" ref="Y29" si="87">IF(V28=TRUE,IF(C28&lt;&gt;"",IF(C28&gt;(22/24),(22/24)-(12/24),C28-(12/24)),0),0)</f>
        <v>0</v>
      </c>
      <c r="Z29" s="15">
        <f t="shared" ref="Z29" si="88">IF(V28=TRUE,IF(C28&lt;&gt;"",IF(C28&gt;(22/24),C28-(22/24),0),0),0)</f>
        <v>0</v>
      </c>
      <c r="AA29" s="21"/>
      <c r="AB29" s="21"/>
      <c r="AC29" s="21"/>
      <c r="AD29" s="21"/>
      <c r="AF29" s="16">
        <v>0.1875</v>
      </c>
    </row>
    <row r="30" spans="1:35" x14ac:dyDescent="0.45">
      <c r="A30" s="5">
        <f>IF((EOMONTH($Q$2,0)-$Q$2)&gt;=$U30,$Q$2+$U30,"")</f>
        <v>45423</v>
      </c>
      <c r="B30" s="6" t="str">
        <f>IF(A30&lt;&gt;"",IF(R30=0,"",R30),"")</f>
        <v/>
      </c>
      <c r="C30" s="6" t="str">
        <f>IF(AND($A30&lt;&gt;"",$V30=FALSE),$Q$6,IF(R31=0,"",IF(Q31&gt;$Q$2+U30,R31+1,R31)))</f>
        <v/>
      </c>
      <c r="D30" s="30">
        <f>SUM(W30:Z31)</f>
        <v>0</v>
      </c>
      <c r="E30" s="23" t="str">
        <f>IF(S30&lt;&gt;"",S30,"")</f>
        <v/>
      </c>
      <c r="F30" s="25">
        <f>IF(ROUNDUP(AA30*24,0)&gt;60,60,ROUNDUP(AA30*24,0))</f>
        <v>12</v>
      </c>
      <c r="G30" s="25" t="str">
        <f>IF(ROUNDUP(AA30*24,0)&gt;60,ROUNDUP(AA30*24,0)-60,"")</f>
        <v/>
      </c>
      <c r="H30" s="25">
        <f>IF(ROUNDUP(AB30*24,0)&gt;60,60,ROUNDUP(AB30*24,0))</f>
        <v>5</v>
      </c>
      <c r="I30" s="25" t="str">
        <f>IF(ROUNDUP(AB30*24,0)&gt;60,ROUNDUP(AB30*24,0)-60,"")</f>
        <v/>
      </c>
      <c r="J30" s="25">
        <f>IF(ROUNDUP(AC30*24,0)&gt;60,60,ROUNDUP(AC30*24,0))</f>
        <v>8</v>
      </c>
      <c r="K30" s="25" t="str">
        <f>IF(ROUNDUP(AC30*24,0)&gt;60,ROUNDUP(AC30*24,0)-60,"")</f>
        <v/>
      </c>
      <c r="L30" s="25">
        <f>IF(ROUNDUP(AD30*24,0)&gt;60,60,ROUNDUP(AD30*24,0))</f>
        <v>3</v>
      </c>
      <c r="M30" s="25" t="str">
        <f>IF(ROUNDUP(AD30*24,0)&gt;60,ROUNDUP(AD30*24,0)-60,"")</f>
        <v/>
      </c>
      <c r="P30" s="7" t="s">
        <v>26</v>
      </c>
      <c r="Q30" s="17">
        <f t="shared" si="2"/>
        <v>45423</v>
      </c>
      <c r="R30" s="8"/>
      <c r="S30" s="27"/>
      <c r="U30" s="12">
        <v>10</v>
      </c>
      <c r="V30" s="13" t="b">
        <f t="shared" ref="V30" si="89">IF(A30&lt;&gt;"",IF(OR(WEEKDAY(A30)=1,WEEKDAY(A30)=7),TRUE,FALSE),"")</f>
        <v>1</v>
      </c>
      <c r="W30" s="13">
        <f t="shared" ref="W30" si="90">IF(V30=FALSE,IF(B30&lt;&gt;"",IF(B30&lt;(5/24),B31-(5/24),B31-B30),0),0)</f>
        <v>0</v>
      </c>
      <c r="X30" s="13">
        <f t="shared" ref="X30" si="91">IF(V30=FALSE,IF(B30&lt;&gt;"",IF(B30&lt;(5/24),(5/24)-B30,0),0),0)</f>
        <v>0</v>
      </c>
      <c r="Y30" s="13">
        <f t="shared" ref="Y30" si="92">IF(V30=TRUE,IF(B30&lt;&gt;"",IF(B30&lt;(5/24),(12/24)-(5/24),(12/24)-B30),0),0)</f>
        <v>0</v>
      </c>
      <c r="Z30" s="13">
        <f t="shared" ref="Z30" si="93">IF(V30=TRUE,IF(B30&lt;(5/24),(5/24)-B30,0),0)</f>
        <v>0</v>
      </c>
      <c r="AA30" s="20">
        <f>SUM(W30:W31,W10:W29)</f>
        <v>0.49791666666666656</v>
      </c>
      <c r="AB30" s="20">
        <f>SUM(X30:X31,X10:X29)</f>
        <v>0.20763888888888904</v>
      </c>
      <c r="AC30" s="20">
        <f>SUM(Y30:Y31,Y10:Y29)</f>
        <v>0.33333333333333331</v>
      </c>
      <c r="AD30" s="20">
        <f>SUM(Z30:Z31,Z10:Z29)</f>
        <v>0.12500000000000011</v>
      </c>
      <c r="AF30" s="16">
        <v>0.19791666666666699</v>
      </c>
    </row>
    <row r="31" spans="1:35" x14ac:dyDescent="0.45">
      <c r="A31" s="9" t="str">
        <f t="shared" ref="A31" si="94">IF(A30="","",TEXT(A30,"(aaa)"))</f>
        <v>(土)</v>
      </c>
      <c r="B31" s="6" t="str">
        <f>IF(AND($A30&lt;&gt;"",$V30=FALSE),$Q$7,IF($V30=TRUE,"---",""))</f>
        <v>---</v>
      </c>
      <c r="C31" s="6" t="str">
        <f>IF(AND(A30&lt;&gt;"",$V30=FALSE),IF(R31=0,"",IF(Q31&gt;$Q$2+U31,R31+1,R31)),IF($V30=TRUE,"---",""))</f>
        <v>---</v>
      </c>
      <c r="D31" s="31"/>
      <c r="E31" s="24"/>
      <c r="F31" s="25"/>
      <c r="G31" s="25"/>
      <c r="H31" s="25"/>
      <c r="I31" s="25"/>
      <c r="J31" s="25"/>
      <c r="K31" s="25"/>
      <c r="L31" s="25"/>
      <c r="M31" s="25"/>
      <c r="P31" s="7" t="s">
        <v>30</v>
      </c>
      <c r="Q31" s="17">
        <f t="shared" si="2"/>
        <v>45423</v>
      </c>
      <c r="R31" s="8"/>
      <c r="S31" s="27"/>
      <c r="U31" s="14">
        <v>10</v>
      </c>
      <c r="V31" s="15"/>
      <c r="W31" s="15">
        <f t="shared" ref="W31" si="95">IF(V30=FALSE,IF(C31&lt;&gt;"",IF(C31&gt;(22/24),(22/24)-B31,C31-B31),0),0)</f>
        <v>0</v>
      </c>
      <c r="X31" s="15">
        <f t="shared" ref="X31" si="96">IF(V30=FALSE,IF(C31&lt;&gt;"",IF(C31&gt;(22/24),C31-(22/24),0),0),0)</f>
        <v>0</v>
      </c>
      <c r="Y31" s="15">
        <f t="shared" ref="Y31" si="97">IF(V30=TRUE,IF(C30&lt;&gt;"",IF(C30&gt;(22/24),(22/24)-(12/24),C30-(12/24)),0),0)</f>
        <v>0</v>
      </c>
      <c r="Z31" s="15">
        <f t="shared" ref="Z31" si="98">IF(V30=TRUE,IF(C30&lt;&gt;"",IF(C30&gt;(22/24),C30-(22/24),0),0),0)</f>
        <v>0</v>
      </c>
      <c r="AA31" s="21"/>
      <c r="AB31" s="21"/>
      <c r="AC31" s="21"/>
      <c r="AD31" s="21"/>
      <c r="AF31" s="16">
        <v>0.20833333333333301</v>
      </c>
    </row>
    <row r="32" spans="1:35" x14ac:dyDescent="0.45">
      <c r="A32" s="5">
        <f>IF((EOMONTH($Q$2,0)-$Q$2)&gt;=$U32,$Q$2+$U32,"")</f>
        <v>45424</v>
      </c>
      <c r="B32" s="6" t="str">
        <f>IF(A32&lt;&gt;"",IF(R32=0,"",R32),"")</f>
        <v/>
      </c>
      <c r="C32" s="6" t="str">
        <f>IF(AND($A32&lt;&gt;"",$V32=FALSE),$Q$6,IF(R33=0,"",IF(Q33&gt;$Q$2+U32,R33+1,R33)))</f>
        <v/>
      </c>
      <c r="D32" s="30">
        <f>SUM(W32:Z33)</f>
        <v>0</v>
      </c>
      <c r="E32" s="23" t="str">
        <f>IF(S32&lt;&gt;"",S32,"")</f>
        <v/>
      </c>
      <c r="F32" s="25">
        <f>IF(ROUNDUP(AA32*24,0)&gt;60,60,ROUNDUP(AA32*24,0))</f>
        <v>12</v>
      </c>
      <c r="G32" s="25" t="str">
        <f>IF(ROUNDUP(AA32*24,0)&gt;60,ROUNDUP(AA32*24,0)-60,"")</f>
        <v/>
      </c>
      <c r="H32" s="25">
        <f>IF(ROUNDUP(AB32*24,0)&gt;60,60,ROUNDUP(AB32*24,0))</f>
        <v>5</v>
      </c>
      <c r="I32" s="25" t="str">
        <f>IF(ROUNDUP(AB32*24,0)&gt;60,ROUNDUP(AB32*24,0)-60,"")</f>
        <v/>
      </c>
      <c r="J32" s="25">
        <f>IF(ROUNDUP(AC32*24,0)&gt;60,60,ROUNDUP(AC32*24,0))</f>
        <v>8</v>
      </c>
      <c r="K32" s="25" t="str">
        <f>IF(ROUNDUP(AC32*24,0)&gt;60,ROUNDUP(AC32*24,0)-60,"")</f>
        <v/>
      </c>
      <c r="L32" s="25">
        <f>IF(ROUNDUP(AD32*24,0)&gt;60,60,ROUNDUP(AD32*24,0))</f>
        <v>3</v>
      </c>
      <c r="M32" s="25" t="str">
        <f>IF(ROUNDUP(AD32*24,0)&gt;60,ROUNDUP(AD32*24,0)-60,"")</f>
        <v/>
      </c>
      <c r="P32" s="7" t="s">
        <v>26</v>
      </c>
      <c r="Q32" s="17">
        <f t="shared" si="2"/>
        <v>45424</v>
      </c>
      <c r="R32" s="8"/>
      <c r="S32" s="27"/>
      <c r="U32" s="12">
        <v>11</v>
      </c>
      <c r="V32" s="13" t="b">
        <f t="shared" ref="V32" si="99">IF(A32&lt;&gt;"",IF(OR(WEEKDAY(A32)=1,WEEKDAY(A32)=7),TRUE,FALSE),"")</f>
        <v>1</v>
      </c>
      <c r="W32" s="13">
        <f t="shared" ref="W32" si="100">IF(V32=FALSE,IF(B32&lt;&gt;"",IF(B32&lt;(5/24),B33-(5/24),B33-B32),0),0)</f>
        <v>0</v>
      </c>
      <c r="X32" s="13">
        <f t="shared" ref="X32" si="101">IF(V32=FALSE,IF(B32&lt;&gt;"",IF(B32&lt;(5/24),(5/24)-B32,0),0),0)</f>
        <v>0</v>
      </c>
      <c r="Y32" s="13">
        <f t="shared" ref="Y32" si="102">IF(V32=TRUE,IF(B32&lt;&gt;"",IF(B32&lt;(5/24),(12/24)-(5/24),(12/24)-B32),0),0)</f>
        <v>0</v>
      </c>
      <c r="Z32" s="13">
        <f t="shared" ref="Z32" si="103">IF(V32=TRUE,IF(B32&lt;(5/24),(5/24)-B32,0),0)</f>
        <v>0</v>
      </c>
      <c r="AA32" s="20">
        <f>SUM(W32:W33,W10:W31)</f>
        <v>0.49791666666666656</v>
      </c>
      <c r="AB32" s="20">
        <f>SUM(X32:X33,X10:X31)</f>
        <v>0.20763888888888904</v>
      </c>
      <c r="AC32" s="20">
        <f>SUM(Y32:Y33,Y10:Y31)</f>
        <v>0.33333333333333331</v>
      </c>
      <c r="AD32" s="20">
        <f>SUM(Z32:Z33,Z10:Z31)</f>
        <v>0.12500000000000011</v>
      </c>
      <c r="AF32" s="16">
        <v>0.21875</v>
      </c>
    </row>
    <row r="33" spans="1:32" x14ac:dyDescent="0.45">
      <c r="A33" s="9" t="str">
        <f t="shared" ref="A33" si="104">IF(A32="","",TEXT(A32,"(aaa)"))</f>
        <v>(日)</v>
      </c>
      <c r="B33" s="6" t="str">
        <f>IF(AND($A32&lt;&gt;"",$V32=FALSE),$Q$7,IF($V32=TRUE,"---",""))</f>
        <v>---</v>
      </c>
      <c r="C33" s="6" t="str">
        <f>IF(AND(A32&lt;&gt;"",$V32=FALSE),IF(R33=0,"",IF(Q33&gt;$Q$2+U33,R33+1,R33)),IF($V32=TRUE,"---",""))</f>
        <v>---</v>
      </c>
      <c r="D33" s="31"/>
      <c r="E33" s="24"/>
      <c r="F33" s="25"/>
      <c r="G33" s="25"/>
      <c r="H33" s="25"/>
      <c r="I33" s="25"/>
      <c r="J33" s="25"/>
      <c r="K33" s="25"/>
      <c r="L33" s="25"/>
      <c r="M33" s="25"/>
      <c r="P33" s="7" t="s">
        <v>30</v>
      </c>
      <c r="Q33" s="17">
        <f t="shared" si="2"/>
        <v>45424</v>
      </c>
      <c r="R33" s="8"/>
      <c r="S33" s="27"/>
      <c r="U33" s="14">
        <v>11</v>
      </c>
      <c r="V33" s="15"/>
      <c r="W33" s="15">
        <f t="shared" ref="W33" si="105">IF(V32=FALSE,IF(C33&lt;&gt;"",IF(C33&gt;(22/24),(22/24)-B33,C33-B33),0),0)</f>
        <v>0</v>
      </c>
      <c r="X33" s="15">
        <f t="shared" ref="X33" si="106">IF(V32=FALSE,IF(C33&lt;&gt;"",IF(C33&gt;(22/24),C33-(22/24),0),0),0)</f>
        <v>0</v>
      </c>
      <c r="Y33" s="15">
        <f t="shared" ref="Y33" si="107">IF(V32=TRUE,IF(C32&lt;&gt;"",IF(C32&gt;(22/24),(22/24)-(12/24),C32-(12/24)),0),0)</f>
        <v>0</v>
      </c>
      <c r="Z33" s="15">
        <f t="shared" ref="Z33" si="108">IF(V32=TRUE,IF(C32&lt;&gt;"",IF(C32&gt;(22/24),C32-(22/24),0),0),0)</f>
        <v>0</v>
      </c>
      <c r="AA33" s="21"/>
      <c r="AB33" s="21"/>
      <c r="AC33" s="21"/>
      <c r="AD33" s="21"/>
      <c r="AF33" s="16">
        <v>0.22916666666666699</v>
      </c>
    </row>
    <row r="34" spans="1:32" x14ac:dyDescent="0.45">
      <c r="A34" s="5">
        <f>IF((EOMONTH($Q$2,0)-$Q$2)&gt;=$U34,$Q$2+$U34,"")</f>
        <v>45425</v>
      </c>
      <c r="B34" s="6" t="str">
        <f>IF(A34&lt;&gt;"",IF(R34=0,"",R34),"")</f>
        <v/>
      </c>
      <c r="C34" s="6">
        <f>IF(AND($A34&lt;&gt;"",$V34=FALSE),$Q$6,IF(R35=0,"",IF(Q35&gt;$Q$2+U34,R35+1,R35)))</f>
        <v>0.35416666666666669</v>
      </c>
      <c r="D34" s="30">
        <f>SUM(W34:Z35)</f>
        <v>0</v>
      </c>
      <c r="E34" s="23" t="str">
        <f>IF(S34&lt;&gt;"",S34,"")</f>
        <v/>
      </c>
      <c r="F34" s="25">
        <f>IF(ROUNDUP(AA34*24,0)&gt;60,60,ROUNDUP(AA34*24,0))</f>
        <v>12</v>
      </c>
      <c r="G34" s="25" t="str">
        <f>IF(ROUNDUP(AA34*24,0)&gt;60,ROUNDUP(AA34*24,0)-60,"")</f>
        <v/>
      </c>
      <c r="H34" s="25">
        <f>IF(ROUNDUP(AB34*24,0)&gt;60,60,ROUNDUP(AB34*24,0))</f>
        <v>5</v>
      </c>
      <c r="I34" s="25" t="str">
        <f>IF(ROUNDUP(AB34*24,0)&gt;60,ROUNDUP(AB34*24,0)-60,"")</f>
        <v/>
      </c>
      <c r="J34" s="25">
        <f>IF(ROUNDUP(AC34*24,0)&gt;60,60,ROUNDUP(AC34*24,0))</f>
        <v>8</v>
      </c>
      <c r="K34" s="25" t="str">
        <f>IF(ROUNDUP(AC34*24,0)&gt;60,ROUNDUP(AC34*24,0)-60,"")</f>
        <v/>
      </c>
      <c r="L34" s="25">
        <f>IF(ROUNDUP(AD34*24,0)&gt;60,60,ROUNDUP(AD34*24,0))</f>
        <v>3</v>
      </c>
      <c r="M34" s="25" t="str">
        <f>IF(ROUNDUP(AD34*24,0)&gt;60,ROUNDUP(AD34*24,0)-60,"")</f>
        <v/>
      </c>
      <c r="P34" s="7" t="s">
        <v>26</v>
      </c>
      <c r="Q34" s="17">
        <f t="shared" si="2"/>
        <v>45425</v>
      </c>
      <c r="R34" s="8"/>
      <c r="S34" s="27"/>
      <c r="U34" s="12">
        <v>12</v>
      </c>
      <c r="V34" s="13" t="b">
        <f t="shared" ref="V34" si="109">IF(A34&lt;&gt;"",IF(OR(WEEKDAY(A34)=1,WEEKDAY(A34)=7),TRUE,FALSE),"")</f>
        <v>0</v>
      </c>
      <c r="W34" s="13">
        <f t="shared" ref="W34" si="110">IF(V34=FALSE,IF(B34&lt;&gt;"",IF(B34&lt;(5/24),B35-(5/24),B35-B34),0),0)</f>
        <v>0</v>
      </c>
      <c r="X34" s="13">
        <f t="shared" ref="X34" si="111">IF(V34=FALSE,IF(B34&lt;&gt;"",IF(B34&lt;(5/24),(5/24)-B34,0),0),0)</f>
        <v>0</v>
      </c>
      <c r="Y34" s="13">
        <f t="shared" ref="Y34" si="112">IF(V34=TRUE,IF(B34&lt;&gt;"",IF(B34&lt;(5/24),(12/24)-(5/24),(12/24)-B34),0),0)</f>
        <v>0</v>
      </c>
      <c r="Z34" s="13">
        <f t="shared" ref="Z34" si="113">IF(V34=TRUE,IF(B34&lt;(5/24),(5/24)-B34,0),0)</f>
        <v>0</v>
      </c>
      <c r="AA34" s="20">
        <f>SUM(W34:W35,W10:W33)</f>
        <v>0.49791666666666656</v>
      </c>
      <c r="AB34" s="20">
        <f>SUM(X34:X35,X10:X33)</f>
        <v>0.20763888888888904</v>
      </c>
      <c r="AC34" s="20">
        <f>SUM(Y34:Y35,Y10:Y33)</f>
        <v>0.33333333333333331</v>
      </c>
      <c r="AD34" s="20">
        <f>SUM(Z34:Z35,Z10:Z33)</f>
        <v>0.12500000000000011</v>
      </c>
      <c r="AF34" s="16">
        <v>0.23958333333333301</v>
      </c>
    </row>
    <row r="35" spans="1:32" x14ac:dyDescent="0.45">
      <c r="A35" s="9" t="str">
        <f t="shared" ref="A35" si="114">IF(A34="","",TEXT(A34,"(aaa)"))</f>
        <v>(月)</v>
      </c>
      <c r="B35" s="6">
        <f>IF(AND($A34&lt;&gt;"",$V34=FALSE),$Q$7,IF($V34=TRUE,"---",""))</f>
        <v>0.71875</v>
      </c>
      <c r="C35" s="6" t="str">
        <f>IF(AND(A34&lt;&gt;"",$V34=FALSE),IF(R35=0,"",IF(Q35&gt;$Q$2+U35,R35+1,R35)),IF($V34=TRUE,"---",""))</f>
        <v/>
      </c>
      <c r="D35" s="31"/>
      <c r="E35" s="24"/>
      <c r="F35" s="25"/>
      <c r="G35" s="25"/>
      <c r="H35" s="25"/>
      <c r="I35" s="25"/>
      <c r="J35" s="25"/>
      <c r="K35" s="25"/>
      <c r="L35" s="25"/>
      <c r="M35" s="25"/>
      <c r="P35" s="7" t="s">
        <v>30</v>
      </c>
      <c r="Q35" s="17">
        <f t="shared" si="2"/>
        <v>45425</v>
      </c>
      <c r="R35" s="8"/>
      <c r="S35" s="27"/>
      <c r="U35" s="14">
        <v>12</v>
      </c>
      <c r="V35" s="15"/>
      <c r="W35" s="15">
        <f t="shared" ref="W35" si="115">IF(V34=FALSE,IF(C35&lt;&gt;"",IF(C35&gt;(22/24),(22/24)-B35,C35-B35),0),0)</f>
        <v>0</v>
      </c>
      <c r="X35" s="15">
        <f t="shared" ref="X35" si="116">IF(V34=FALSE,IF(C35&lt;&gt;"",IF(C35&gt;(22/24),C35-(22/24),0),0),0)</f>
        <v>0</v>
      </c>
      <c r="Y35" s="15">
        <f t="shared" ref="Y35" si="117">IF(V34=TRUE,IF(C34&lt;&gt;"",IF(C34&gt;(22/24),(22/24)-(12/24),C34-(12/24)),0),0)</f>
        <v>0</v>
      </c>
      <c r="Z35" s="15">
        <f t="shared" ref="Z35" si="118">IF(V34=TRUE,IF(C34&lt;&gt;"",IF(C34&gt;(22/24),C34-(22/24),0),0),0)</f>
        <v>0</v>
      </c>
      <c r="AA35" s="21"/>
      <c r="AB35" s="21"/>
      <c r="AC35" s="21"/>
      <c r="AD35" s="21"/>
      <c r="AF35" s="16">
        <v>0.25</v>
      </c>
    </row>
    <row r="36" spans="1:32" x14ac:dyDescent="0.45">
      <c r="A36" s="5">
        <f>IF((EOMONTH($Q$2,0)-$Q$2)&gt;=$U36,$Q$2+$U36,"")</f>
        <v>45426</v>
      </c>
      <c r="B36" s="6" t="str">
        <f>IF(A36&lt;&gt;"",IF(R36=0,"",R36),"")</f>
        <v/>
      </c>
      <c r="C36" s="6">
        <f>IF(AND($A36&lt;&gt;"",$V36=FALSE),$Q$6,IF(R37=0,"",IF(Q37&gt;$Q$2+U36,R37+1,R37)))</f>
        <v>0.35416666666666669</v>
      </c>
      <c r="D36" s="30">
        <f>SUM(W36:Z37)</f>
        <v>0</v>
      </c>
      <c r="E36" s="23" t="str">
        <f>IF(S36&lt;&gt;"",S36,"")</f>
        <v/>
      </c>
      <c r="F36" s="25">
        <f>IF(ROUNDUP(AA36*24,0)&gt;60,60,ROUNDUP(AA36*24,0))</f>
        <v>12</v>
      </c>
      <c r="G36" s="25" t="str">
        <f>IF(ROUNDUP(AA36*24,0)&gt;60,ROUNDUP(AA36*24,0)-60,"")</f>
        <v/>
      </c>
      <c r="H36" s="25">
        <f>IF(ROUNDUP(AB36*24,0)&gt;60,60,ROUNDUP(AB36*24,0))</f>
        <v>5</v>
      </c>
      <c r="I36" s="25" t="str">
        <f>IF(ROUNDUP(AB36*24,0)&gt;60,ROUNDUP(AB36*24,0)-60,"")</f>
        <v/>
      </c>
      <c r="J36" s="25">
        <f>IF(ROUNDUP(AC36*24,0)&gt;60,60,ROUNDUP(AC36*24,0))</f>
        <v>8</v>
      </c>
      <c r="K36" s="25" t="str">
        <f>IF(ROUNDUP(AC36*24,0)&gt;60,ROUNDUP(AC36*24,0)-60,"")</f>
        <v/>
      </c>
      <c r="L36" s="25">
        <f>IF(ROUNDUP(AD36*24,0)&gt;60,60,ROUNDUP(AD36*24,0))</f>
        <v>3</v>
      </c>
      <c r="M36" s="25" t="str">
        <f>IF(ROUNDUP(AD36*24,0)&gt;60,ROUNDUP(AD36*24,0)-60,"")</f>
        <v/>
      </c>
      <c r="P36" s="7" t="s">
        <v>26</v>
      </c>
      <c r="Q36" s="17">
        <f t="shared" si="2"/>
        <v>45426</v>
      </c>
      <c r="R36" s="8"/>
      <c r="S36" s="27"/>
      <c r="U36" s="12">
        <v>13</v>
      </c>
      <c r="V36" s="13" t="b">
        <f t="shared" ref="V36" si="119">IF(A36&lt;&gt;"",IF(OR(WEEKDAY(A36)=1,WEEKDAY(A36)=7),TRUE,FALSE),"")</f>
        <v>0</v>
      </c>
      <c r="W36" s="13">
        <f t="shared" ref="W36" si="120">IF(V36=FALSE,IF(B36&lt;&gt;"",IF(B36&lt;(5/24),B37-(5/24),B37-B36),0),0)</f>
        <v>0</v>
      </c>
      <c r="X36" s="13">
        <f t="shared" ref="X36" si="121">IF(V36=FALSE,IF(B36&lt;&gt;"",IF(B36&lt;(5/24),(5/24)-B36,0),0),0)</f>
        <v>0</v>
      </c>
      <c r="Y36" s="13">
        <f t="shared" ref="Y36" si="122">IF(V36=TRUE,IF(B36&lt;&gt;"",IF(B36&lt;(5/24),(12/24)-(5/24),(12/24)-B36),0),0)</f>
        <v>0</v>
      </c>
      <c r="Z36" s="13">
        <f t="shared" ref="Z36" si="123">IF(V36=TRUE,IF(B36&lt;(5/24),(5/24)-B36,0),0)</f>
        <v>0</v>
      </c>
      <c r="AA36" s="20">
        <f>SUM(W36:W37,W10:W35)</f>
        <v>0.49791666666666656</v>
      </c>
      <c r="AB36" s="20">
        <f>SUM(X36:X37,X10:X35)</f>
        <v>0.20763888888888904</v>
      </c>
      <c r="AC36" s="20">
        <f>SUM(Y36:Y37,Y10:Y35)</f>
        <v>0.33333333333333331</v>
      </c>
      <c r="AD36" s="20">
        <f>SUM(Z36:Z37,Z10:Z35)</f>
        <v>0.12500000000000011</v>
      </c>
      <c r="AF36" s="16">
        <v>0.26041666666666702</v>
      </c>
    </row>
    <row r="37" spans="1:32" x14ac:dyDescent="0.45">
      <c r="A37" s="9" t="str">
        <f t="shared" ref="A37" si="124">IF(A36="","",TEXT(A36,"(aaa)"))</f>
        <v>(火)</v>
      </c>
      <c r="B37" s="6">
        <f>IF(AND($A36&lt;&gt;"",$V36=FALSE),$Q$7,IF($V36=TRUE,"---",""))</f>
        <v>0.71875</v>
      </c>
      <c r="C37" s="6" t="str">
        <f>IF(AND(A36&lt;&gt;"",$V36=FALSE),IF(R37=0,"",IF(Q37&gt;$Q$2+U37,R37+1,R37)),IF($V36=TRUE,"---",""))</f>
        <v/>
      </c>
      <c r="D37" s="31"/>
      <c r="E37" s="24"/>
      <c r="F37" s="25"/>
      <c r="G37" s="25"/>
      <c r="H37" s="25"/>
      <c r="I37" s="25"/>
      <c r="J37" s="25"/>
      <c r="K37" s="25"/>
      <c r="L37" s="25"/>
      <c r="M37" s="25"/>
      <c r="P37" s="7" t="s">
        <v>30</v>
      </c>
      <c r="Q37" s="17">
        <f t="shared" si="2"/>
        <v>45426</v>
      </c>
      <c r="R37" s="8"/>
      <c r="S37" s="27"/>
      <c r="U37" s="14">
        <v>13</v>
      </c>
      <c r="V37" s="15"/>
      <c r="W37" s="15">
        <f t="shared" ref="W37" si="125">IF(V36=FALSE,IF(C37&lt;&gt;"",IF(C37&gt;(22/24),(22/24)-B37,C37-B37),0),0)</f>
        <v>0</v>
      </c>
      <c r="X37" s="15">
        <f t="shared" ref="X37" si="126">IF(V36=FALSE,IF(C37&lt;&gt;"",IF(C37&gt;(22/24),C37-(22/24),0),0),0)</f>
        <v>0</v>
      </c>
      <c r="Y37" s="15">
        <f t="shared" ref="Y37" si="127">IF(V36=TRUE,IF(C36&lt;&gt;"",IF(C36&gt;(22/24),(22/24)-(12/24),C36-(12/24)),0),0)</f>
        <v>0</v>
      </c>
      <c r="Z37" s="15">
        <f t="shared" ref="Z37" si="128">IF(V36=TRUE,IF(C36&lt;&gt;"",IF(C36&gt;(22/24),C36-(22/24),0),0),0)</f>
        <v>0</v>
      </c>
      <c r="AA37" s="21"/>
      <c r="AB37" s="21"/>
      <c r="AC37" s="21"/>
      <c r="AD37" s="21"/>
      <c r="AF37" s="16">
        <v>0.27083333333333298</v>
      </c>
    </row>
    <row r="38" spans="1:32" x14ac:dyDescent="0.45">
      <c r="A38" s="5">
        <f>IF((EOMONTH($Q$2,0)-$Q$2)&gt;=$U38,$Q$2+$U38,"")</f>
        <v>45427</v>
      </c>
      <c r="B38" s="6" t="str">
        <f>IF(A38&lt;&gt;"",IF(R38=0,"",R38),"")</f>
        <v/>
      </c>
      <c r="C38" s="6">
        <f>IF(AND($A38&lt;&gt;"",$V38=FALSE),$Q$6,IF(R39=0,"",IF(Q39&gt;$Q$2+U38,R39+1,R39)))</f>
        <v>0.35416666666666669</v>
      </c>
      <c r="D38" s="30">
        <f>SUM(W38:Z39)</f>
        <v>0</v>
      </c>
      <c r="E38" s="23" t="str">
        <f>IF(S38&lt;&gt;"",S38,"")</f>
        <v/>
      </c>
      <c r="F38" s="25">
        <f>IF(ROUNDUP(AA38*24,0)&gt;60,60,ROUNDUP(AA38*24,0))</f>
        <v>12</v>
      </c>
      <c r="G38" s="25" t="str">
        <f>IF(ROUNDUP(AA38*24,0)&gt;60,ROUNDUP(AA38*24,0)-60,"")</f>
        <v/>
      </c>
      <c r="H38" s="25">
        <f>IF(ROUNDUP(AB38*24,0)&gt;60,60,ROUNDUP(AB38*24,0))</f>
        <v>5</v>
      </c>
      <c r="I38" s="25" t="str">
        <f>IF(ROUNDUP(AB38*24,0)&gt;60,ROUNDUP(AB38*24,0)-60,"")</f>
        <v/>
      </c>
      <c r="J38" s="25">
        <f>IF(ROUNDUP(AC38*24,0)&gt;60,60,ROUNDUP(AC38*24,0))</f>
        <v>8</v>
      </c>
      <c r="K38" s="25" t="str">
        <f>IF(ROUNDUP(AC38*24,0)&gt;60,ROUNDUP(AC38*24,0)-60,"")</f>
        <v/>
      </c>
      <c r="L38" s="25">
        <f>IF(ROUNDUP(AD38*24,0)&gt;60,60,ROUNDUP(AD38*24,0))</f>
        <v>3</v>
      </c>
      <c r="M38" s="25" t="str">
        <f>IF(ROUNDUP(AD38*24,0)&gt;60,ROUNDUP(AD38*24,0)-60,"")</f>
        <v/>
      </c>
      <c r="P38" s="7" t="s">
        <v>26</v>
      </c>
      <c r="Q38" s="17">
        <f t="shared" si="2"/>
        <v>45427</v>
      </c>
      <c r="R38" s="8"/>
      <c r="S38" s="27"/>
      <c r="U38" s="12">
        <v>14</v>
      </c>
      <c r="V38" s="13" t="b">
        <f t="shared" ref="V38" si="129">IF(A38&lt;&gt;"",IF(OR(WEEKDAY(A38)=1,WEEKDAY(A38)=7),TRUE,FALSE),"")</f>
        <v>0</v>
      </c>
      <c r="W38" s="13">
        <f t="shared" ref="W38" si="130">IF(V38=FALSE,IF(B38&lt;&gt;"",IF(B38&lt;(5/24),B39-(5/24),B39-B38),0),0)</f>
        <v>0</v>
      </c>
      <c r="X38" s="13">
        <f t="shared" ref="X38" si="131">IF(V38=FALSE,IF(B38&lt;&gt;"",IF(B38&lt;(5/24),(5/24)-B38,0),0),0)</f>
        <v>0</v>
      </c>
      <c r="Y38" s="13">
        <f t="shared" ref="Y38" si="132">IF(V38=TRUE,IF(B38&lt;&gt;"",IF(B38&lt;(5/24),(12/24)-(5/24),(12/24)-B38),0),0)</f>
        <v>0</v>
      </c>
      <c r="Z38" s="13">
        <f t="shared" ref="Z38" si="133">IF(V38=TRUE,IF(B38&lt;(5/24),(5/24)-B38,0),0)</f>
        <v>0</v>
      </c>
      <c r="AA38" s="20">
        <f>SUM(W38:W39,W10:W37)</f>
        <v>0.49791666666666656</v>
      </c>
      <c r="AB38" s="20">
        <f>SUM(X38:X39,X10:X37)</f>
        <v>0.20763888888888904</v>
      </c>
      <c r="AC38" s="20">
        <f>SUM(Y38:Y39,Y10:Y37)</f>
        <v>0.33333333333333331</v>
      </c>
      <c r="AD38" s="20">
        <f>SUM(Z38:Z39,Z10:Z37)</f>
        <v>0.12500000000000011</v>
      </c>
      <c r="AF38" s="16">
        <v>0.28125</v>
      </c>
    </row>
    <row r="39" spans="1:32" x14ac:dyDescent="0.45">
      <c r="A39" s="9" t="str">
        <f t="shared" ref="A39" si="134">IF(A38="","",TEXT(A38,"(aaa)"))</f>
        <v>(水)</v>
      </c>
      <c r="B39" s="6">
        <f>IF(AND($A38&lt;&gt;"",$V38=FALSE),$Q$7,IF($V38=TRUE,"---",""))</f>
        <v>0.71875</v>
      </c>
      <c r="C39" s="6" t="str">
        <f>IF(AND(A38&lt;&gt;"",$V38=FALSE),IF(R39=0,"",IF(Q39&gt;$Q$2+U39,R39+1,R39)),IF($V38=TRUE,"---",""))</f>
        <v/>
      </c>
      <c r="D39" s="31"/>
      <c r="E39" s="24"/>
      <c r="F39" s="25"/>
      <c r="G39" s="25"/>
      <c r="H39" s="25"/>
      <c r="I39" s="25"/>
      <c r="J39" s="25"/>
      <c r="K39" s="25"/>
      <c r="L39" s="25"/>
      <c r="M39" s="25"/>
      <c r="P39" s="7" t="s">
        <v>30</v>
      </c>
      <c r="Q39" s="17">
        <f t="shared" si="2"/>
        <v>45427</v>
      </c>
      <c r="R39" s="8"/>
      <c r="S39" s="27"/>
      <c r="U39" s="14">
        <v>14</v>
      </c>
      <c r="V39" s="15"/>
      <c r="W39" s="15">
        <f t="shared" ref="W39" si="135">IF(V38=FALSE,IF(C39&lt;&gt;"",IF(C39&gt;(22/24),(22/24)-B39,C39-B39),0),0)</f>
        <v>0</v>
      </c>
      <c r="X39" s="15">
        <f t="shared" ref="X39" si="136">IF(V38=FALSE,IF(C39&lt;&gt;"",IF(C39&gt;(22/24),C39-(22/24),0),0),0)</f>
        <v>0</v>
      </c>
      <c r="Y39" s="15">
        <f t="shared" ref="Y39" si="137">IF(V38=TRUE,IF(C38&lt;&gt;"",IF(C38&gt;(22/24),(22/24)-(12/24),C38-(12/24)),0),0)</f>
        <v>0</v>
      </c>
      <c r="Z39" s="15">
        <f t="shared" ref="Z39" si="138">IF(V38=TRUE,IF(C38&lt;&gt;"",IF(C38&gt;(22/24),C38-(22/24),0),0),0)</f>
        <v>0</v>
      </c>
      <c r="AA39" s="21"/>
      <c r="AB39" s="21"/>
      <c r="AC39" s="21"/>
      <c r="AD39" s="21"/>
      <c r="AF39" s="16">
        <v>0.29166666666666702</v>
      </c>
    </row>
    <row r="40" spans="1:32" x14ac:dyDescent="0.45">
      <c r="A40" s="5">
        <f>IF((EOMONTH($Q$2,0)-$Q$2)&gt;=$U40,$Q$2+$U40,"")</f>
        <v>45428</v>
      </c>
      <c r="B40" s="6" t="str">
        <f>IF(A40&lt;&gt;"",IF(R40=0,"",R40),"")</f>
        <v/>
      </c>
      <c r="C40" s="6">
        <f>IF(AND($A40&lt;&gt;"",$V40=FALSE),$Q$6,IF(R41=0,"",IF(Q41&gt;$Q$2+U40,R41+1,R41)))</f>
        <v>0.35416666666666669</v>
      </c>
      <c r="D40" s="30">
        <f>SUM(W40:Z41)</f>
        <v>0</v>
      </c>
      <c r="E40" s="23" t="str">
        <f>IF(S40&lt;&gt;"",S40,"")</f>
        <v/>
      </c>
      <c r="F40" s="25">
        <f>IF(ROUNDUP(AA40*24,0)&gt;60,60,ROUNDUP(AA40*24,0))</f>
        <v>12</v>
      </c>
      <c r="G40" s="25" t="str">
        <f>IF(ROUNDUP(AA40*24,0)&gt;60,ROUNDUP(AA40*24,0)-60,"")</f>
        <v/>
      </c>
      <c r="H40" s="25">
        <f>IF(ROUNDUP(AB40*24,0)&gt;60,60,ROUNDUP(AB40*24,0))</f>
        <v>5</v>
      </c>
      <c r="I40" s="25" t="str">
        <f>IF(ROUNDUP(AB40*24,0)&gt;60,ROUNDUP(AB40*24,0)-60,"")</f>
        <v/>
      </c>
      <c r="J40" s="25">
        <f>IF(ROUNDUP(AC40*24,0)&gt;60,60,ROUNDUP(AC40*24,0))</f>
        <v>8</v>
      </c>
      <c r="K40" s="25" t="str">
        <f>IF(ROUNDUP(AC40*24,0)&gt;60,ROUNDUP(AC40*24,0)-60,"")</f>
        <v/>
      </c>
      <c r="L40" s="25">
        <f>IF(ROUNDUP(AD40*24,0)&gt;60,60,ROUNDUP(AD40*24,0))</f>
        <v>3</v>
      </c>
      <c r="M40" s="25" t="str">
        <f>IF(ROUNDUP(AD40*24,0)&gt;60,ROUNDUP(AD40*24,0)-60,"")</f>
        <v/>
      </c>
      <c r="P40" s="7" t="s">
        <v>26</v>
      </c>
      <c r="Q40" s="17">
        <f t="shared" si="2"/>
        <v>45428</v>
      </c>
      <c r="R40" s="8"/>
      <c r="S40" s="27"/>
      <c r="U40" s="12">
        <v>15</v>
      </c>
      <c r="V40" s="13" t="b">
        <f t="shared" ref="V40" si="139">IF(A40&lt;&gt;"",IF(OR(WEEKDAY(A40)=1,WEEKDAY(A40)=7),TRUE,FALSE),"")</f>
        <v>0</v>
      </c>
      <c r="W40" s="13">
        <f t="shared" ref="W40" si="140">IF(V40=FALSE,IF(B40&lt;&gt;"",IF(B40&lt;(5/24),B41-(5/24),B41-B40),0),0)</f>
        <v>0</v>
      </c>
      <c r="X40" s="13">
        <f t="shared" ref="X40" si="141">IF(V40=FALSE,IF(B40&lt;&gt;"",IF(B40&lt;(5/24),(5/24)-B40,0),0),0)</f>
        <v>0</v>
      </c>
      <c r="Y40" s="13">
        <f t="shared" ref="Y40" si="142">IF(V40=TRUE,IF(B40&lt;&gt;"",IF(B40&lt;(5/24),(12/24)-(5/24),(12/24)-B40),0),0)</f>
        <v>0</v>
      </c>
      <c r="Z40" s="13">
        <f t="shared" ref="Z40" si="143">IF(V40=TRUE,IF(B40&lt;(5/24),(5/24)-B40,0),0)</f>
        <v>0</v>
      </c>
      <c r="AA40" s="20">
        <f>SUM(W40:W41,W10:W39)</f>
        <v>0.49791666666666656</v>
      </c>
      <c r="AB40" s="20">
        <f>SUM(X40:X41,X10:X39)</f>
        <v>0.20763888888888904</v>
      </c>
      <c r="AC40" s="20">
        <f>SUM(Y40:Y41,Y10:Y39)</f>
        <v>0.33333333333333331</v>
      </c>
      <c r="AD40" s="20">
        <f>SUM(Z40:Z41,Z10:Z39)</f>
        <v>0.12500000000000011</v>
      </c>
      <c r="AF40" s="16">
        <v>0.30208333333333298</v>
      </c>
    </row>
    <row r="41" spans="1:32" x14ac:dyDescent="0.45">
      <c r="A41" s="9" t="str">
        <f t="shared" ref="A41" si="144">IF(A40="","",TEXT(A40,"(aaa)"))</f>
        <v>(木)</v>
      </c>
      <c r="B41" s="6">
        <f>IF(AND($A40&lt;&gt;"",$V40=FALSE),$Q$7,IF($V40=TRUE,"---",""))</f>
        <v>0.71875</v>
      </c>
      <c r="C41" s="6" t="str">
        <f>IF(AND(A40&lt;&gt;"",$V40=FALSE),IF(R41=0,"",IF(Q41&gt;$Q$2+U41,R41+1,R41)),IF($V40=TRUE,"---",""))</f>
        <v/>
      </c>
      <c r="D41" s="31"/>
      <c r="E41" s="24"/>
      <c r="F41" s="25"/>
      <c r="G41" s="25"/>
      <c r="H41" s="25"/>
      <c r="I41" s="25"/>
      <c r="J41" s="25"/>
      <c r="K41" s="25"/>
      <c r="L41" s="25"/>
      <c r="M41" s="25"/>
      <c r="P41" s="7" t="s">
        <v>30</v>
      </c>
      <c r="Q41" s="17">
        <f t="shared" si="2"/>
        <v>45428</v>
      </c>
      <c r="R41" s="8"/>
      <c r="S41" s="27"/>
      <c r="U41" s="14">
        <v>15</v>
      </c>
      <c r="V41" s="15"/>
      <c r="W41" s="15">
        <f t="shared" ref="W41" si="145">IF(V40=FALSE,IF(C41&lt;&gt;"",IF(C41&gt;(22/24),(22/24)-B41,C41-B41),0),0)</f>
        <v>0</v>
      </c>
      <c r="X41" s="15">
        <f t="shared" ref="X41" si="146">IF(V40=FALSE,IF(C41&lt;&gt;"",IF(C41&gt;(22/24),C41-(22/24),0),0),0)</f>
        <v>0</v>
      </c>
      <c r="Y41" s="15">
        <f t="shared" ref="Y41" si="147">IF(V40=TRUE,IF(C40&lt;&gt;"",IF(C40&gt;(22/24),(22/24)-(12/24),C40-(12/24)),0),0)</f>
        <v>0</v>
      </c>
      <c r="Z41" s="15">
        <f t="shared" ref="Z41" si="148">IF(V40=TRUE,IF(C40&lt;&gt;"",IF(C40&gt;(22/24),C40-(22/24),0),0),0)</f>
        <v>0</v>
      </c>
      <c r="AA41" s="21"/>
      <c r="AB41" s="21"/>
      <c r="AC41" s="21"/>
      <c r="AD41" s="21"/>
      <c r="AF41" s="16">
        <v>0.3125</v>
      </c>
    </row>
    <row r="42" spans="1:32" x14ac:dyDescent="0.45">
      <c r="A42" s="5">
        <f>IF((EOMONTH($Q$2,0)-$Q$2)&gt;=$U42,$Q$2+$U42,"")</f>
        <v>45429</v>
      </c>
      <c r="B42" s="6" t="str">
        <f>IF(A42&lt;&gt;"",IF(R42=0,"",R42),"")</f>
        <v/>
      </c>
      <c r="C42" s="6">
        <f>IF(AND($A42&lt;&gt;"",$V42=FALSE),$Q$6,IF(R43=0,"",IF(Q43&gt;$Q$2+U42,R43+1,R43)))</f>
        <v>0.35416666666666669</v>
      </c>
      <c r="D42" s="30">
        <f>SUM(W42:Z43)</f>
        <v>0</v>
      </c>
      <c r="E42" s="23" t="str">
        <f>IF(S42&lt;&gt;"",S42,"")</f>
        <v/>
      </c>
      <c r="F42" s="25">
        <f>IF(ROUNDUP(AA42*24,0)&gt;60,60,ROUNDUP(AA42*24,0))</f>
        <v>12</v>
      </c>
      <c r="G42" s="25" t="str">
        <f>IF(ROUNDUP(AA42*24,0)&gt;60,ROUNDUP(AA42*24,0)-60,"")</f>
        <v/>
      </c>
      <c r="H42" s="25">
        <f>IF(ROUNDUP(AB42*24,0)&gt;60,60,ROUNDUP(AB42*24,0))</f>
        <v>5</v>
      </c>
      <c r="I42" s="25" t="str">
        <f>IF(ROUNDUP(AB42*24,0)&gt;60,ROUNDUP(AB42*24,0)-60,"")</f>
        <v/>
      </c>
      <c r="J42" s="25">
        <f>IF(ROUNDUP(AC42*24,0)&gt;60,60,ROUNDUP(AC42*24,0))</f>
        <v>8</v>
      </c>
      <c r="K42" s="25" t="str">
        <f>IF(ROUNDUP(AC42*24,0)&gt;60,ROUNDUP(AC42*24,0)-60,"")</f>
        <v/>
      </c>
      <c r="L42" s="25">
        <f>IF(ROUNDUP(AD42*24,0)&gt;60,60,ROUNDUP(AD42*24,0))</f>
        <v>3</v>
      </c>
      <c r="M42" s="25" t="str">
        <f>IF(ROUNDUP(AD42*24,0)&gt;60,ROUNDUP(AD42*24,0)-60,"")</f>
        <v/>
      </c>
      <c r="P42" s="7" t="s">
        <v>26</v>
      </c>
      <c r="Q42" s="17">
        <f t="shared" si="2"/>
        <v>45429</v>
      </c>
      <c r="R42" s="8"/>
      <c r="S42" s="27"/>
      <c r="U42" s="12">
        <v>16</v>
      </c>
      <c r="V42" s="13" t="b">
        <f t="shared" ref="V42" si="149">IF(A42&lt;&gt;"",IF(OR(WEEKDAY(A42)=1,WEEKDAY(A42)=7),TRUE,FALSE),"")</f>
        <v>0</v>
      </c>
      <c r="W42" s="13">
        <f t="shared" ref="W42" si="150">IF(V42=FALSE,IF(B42&lt;&gt;"",IF(B42&lt;(5/24),B43-(5/24),B43-B42),0),0)</f>
        <v>0</v>
      </c>
      <c r="X42" s="13">
        <f t="shared" ref="X42" si="151">IF(V42=FALSE,IF(B42&lt;&gt;"",IF(B42&lt;(5/24),(5/24)-B42,0),0),0)</f>
        <v>0</v>
      </c>
      <c r="Y42" s="13">
        <f t="shared" ref="Y42" si="152">IF(V42=TRUE,IF(B42&lt;&gt;"",IF(B42&lt;(5/24),(12/24)-(5/24),(12/24)-B42),0),0)</f>
        <v>0</v>
      </c>
      <c r="Z42" s="13">
        <f t="shared" ref="Z42" si="153">IF(V42=TRUE,IF(B42&lt;(5/24),(5/24)-B42,0),0)</f>
        <v>0</v>
      </c>
      <c r="AA42" s="20">
        <f>SUM(W42:W43,W10:W41)</f>
        <v>0.49791666666666656</v>
      </c>
      <c r="AB42" s="20">
        <f>SUM(X42:X43,X10:X41)</f>
        <v>0.20763888888888904</v>
      </c>
      <c r="AC42" s="20">
        <f>SUM(Y42:Y43,Y10:Y41)</f>
        <v>0.33333333333333331</v>
      </c>
      <c r="AD42" s="20">
        <f>SUM(Z42:Z43,Z10:Z41)</f>
        <v>0.12500000000000011</v>
      </c>
      <c r="AF42" s="16">
        <v>0.32291666666666702</v>
      </c>
    </row>
    <row r="43" spans="1:32" x14ac:dyDescent="0.45">
      <c r="A43" s="9" t="str">
        <f t="shared" ref="A43" si="154">IF(A42="","",TEXT(A42,"(aaa)"))</f>
        <v>(金)</v>
      </c>
      <c r="B43" s="6">
        <f>IF(AND($A42&lt;&gt;"",$V42=FALSE),$Q$7,IF($V42=TRUE,"---",""))</f>
        <v>0.71875</v>
      </c>
      <c r="C43" s="6" t="str">
        <f>IF(AND(A42&lt;&gt;"",$V42=FALSE),IF(R43=0,"",IF(Q43&gt;$Q$2+U43,R43+1,R43)),IF($V42=TRUE,"---",""))</f>
        <v/>
      </c>
      <c r="D43" s="31"/>
      <c r="E43" s="24"/>
      <c r="F43" s="25"/>
      <c r="G43" s="25"/>
      <c r="H43" s="25"/>
      <c r="I43" s="25"/>
      <c r="J43" s="25"/>
      <c r="K43" s="25"/>
      <c r="L43" s="25"/>
      <c r="M43" s="25"/>
      <c r="P43" s="7" t="s">
        <v>30</v>
      </c>
      <c r="Q43" s="17">
        <f t="shared" si="2"/>
        <v>45429</v>
      </c>
      <c r="R43" s="8"/>
      <c r="S43" s="27"/>
      <c r="U43" s="14">
        <v>16</v>
      </c>
      <c r="V43" s="15"/>
      <c r="W43" s="15">
        <f t="shared" ref="W43" si="155">IF(V42=FALSE,IF(C43&lt;&gt;"",IF(C43&gt;(22/24),(22/24)-B43,C43-B43),0),0)</f>
        <v>0</v>
      </c>
      <c r="X43" s="15">
        <f t="shared" ref="X43" si="156">IF(V42=FALSE,IF(C43&lt;&gt;"",IF(C43&gt;(22/24),C43-(22/24),0),0),0)</f>
        <v>0</v>
      </c>
      <c r="Y43" s="15">
        <f t="shared" ref="Y43" si="157">IF(V42=TRUE,IF(C42&lt;&gt;"",IF(C42&gt;(22/24),(22/24)-(12/24),C42-(12/24)),0),0)</f>
        <v>0</v>
      </c>
      <c r="Z43" s="15">
        <f t="shared" ref="Z43" si="158">IF(V42=TRUE,IF(C42&lt;&gt;"",IF(C42&gt;(22/24),C42-(22/24),0),0),0)</f>
        <v>0</v>
      </c>
      <c r="AA43" s="21"/>
      <c r="AB43" s="21"/>
      <c r="AC43" s="21"/>
      <c r="AD43" s="21"/>
      <c r="AF43" s="16">
        <v>0.33333333333333298</v>
      </c>
    </row>
    <row r="44" spans="1:32" x14ac:dyDescent="0.45">
      <c r="A44" s="5">
        <f>IF((EOMONTH($Q$2,0)-$Q$2)&gt;=$U44,$Q$2+$U44,"")</f>
        <v>45430</v>
      </c>
      <c r="B44" s="6" t="str">
        <f>IF(A44&lt;&gt;"",IF(R44=0,"",R44),"")</f>
        <v/>
      </c>
      <c r="C44" s="6" t="str">
        <f>IF(AND($A44&lt;&gt;"",$V44=FALSE),$Q$6,IF(R45=0,"",IF(Q45&gt;$Q$2+U44,R45+1,R45)))</f>
        <v/>
      </c>
      <c r="D44" s="30">
        <f>SUM(W44:Z45)</f>
        <v>0</v>
      </c>
      <c r="E44" s="23" t="str">
        <f>IF(S44&lt;&gt;"",S44,"")</f>
        <v/>
      </c>
      <c r="F44" s="25">
        <f>IF(ROUNDUP(AA44*24,0)&gt;60,60,ROUNDUP(AA44*24,0))</f>
        <v>12</v>
      </c>
      <c r="G44" s="25" t="str">
        <f>IF(ROUNDUP(AA44*24,0)&gt;60,ROUNDUP(AA44*24,0)-60,"")</f>
        <v/>
      </c>
      <c r="H44" s="25">
        <f>IF(ROUNDUP(AB44*24,0)&gt;60,60,ROUNDUP(AB44*24,0))</f>
        <v>5</v>
      </c>
      <c r="I44" s="25" t="str">
        <f>IF(ROUNDUP(AB44*24,0)&gt;60,ROUNDUP(AB44*24,0)-60,"")</f>
        <v/>
      </c>
      <c r="J44" s="25">
        <f>IF(ROUNDUP(AC44*24,0)&gt;60,60,ROUNDUP(AC44*24,0))</f>
        <v>8</v>
      </c>
      <c r="K44" s="25" t="str">
        <f>IF(ROUNDUP(AC44*24,0)&gt;60,ROUNDUP(AC44*24,0)-60,"")</f>
        <v/>
      </c>
      <c r="L44" s="25">
        <f>IF(ROUNDUP(AD44*24,0)&gt;60,60,ROUNDUP(AD44*24,0))</f>
        <v>3</v>
      </c>
      <c r="M44" s="25" t="str">
        <f>IF(ROUNDUP(AD44*24,0)&gt;60,ROUNDUP(AD44*24,0)-60,"")</f>
        <v/>
      </c>
      <c r="P44" s="7" t="s">
        <v>26</v>
      </c>
      <c r="Q44" s="17">
        <f t="shared" si="2"/>
        <v>45430</v>
      </c>
      <c r="R44" s="8"/>
      <c r="S44" s="27"/>
      <c r="U44" s="12">
        <v>17</v>
      </c>
      <c r="V44" s="13" t="b">
        <f t="shared" ref="V44" si="159">IF(A44&lt;&gt;"",IF(OR(WEEKDAY(A44)=1,WEEKDAY(A44)=7),TRUE,FALSE),"")</f>
        <v>1</v>
      </c>
      <c r="W44" s="13">
        <f t="shared" ref="W44" si="160">IF(V44=FALSE,IF(B44&lt;&gt;"",IF(B44&lt;(5/24),B45-(5/24),B45-B44),0),0)</f>
        <v>0</v>
      </c>
      <c r="X44" s="13">
        <f t="shared" ref="X44" si="161">IF(V44=FALSE,IF(B44&lt;&gt;"",IF(B44&lt;(5/24),(5/24)-B44,0),0),0)</f>
        <v>0</v>
      </c>
      <c r="Y44" s="13">
        <f t="shared" ref="Y44" si="162">IF(V44=TRUE,IF(B44&lt;&gt;"",IF(B44&lt;(5/24),(12/24)-(5/24),(12/24)-B44),0),0)</f>
        <v>0</v>
      </c>
      <c r="Z44" s="13">
        <f t="shared" ref="Z44" si="163">IF(V44=TRUE,IF(B44&lt;(5/24),(5/24)-B44,0),0)</f>
        <v>0</v>
      </c>
      <c r="AA44" s="20">
        <f>SUM(W44:W45,W10:W43)</f>
        <v>0.49791666666666656</v>
      </c>
      <c r="AB44" s="20">
        <f>SUM(X44:X45,X10:X43)</f>
        <v>0.20763888888888904</v>
      </c>
      <c r="AC44" s="20">
        <f>SUM(Y44:Y45,Y10:Y43)</f>
        <v>0.33333333333333331</v>
      </c>
      <c r="AD44" s="20">
        <f>SUM(Z44:Z45,Z10:Z43)</f>
        <v>0.12500000000000011</v>
      </c>
      <c r="AF44" s="16">
        <v>0.34375</v>
      </c>
    </row>
    <row r="45" spans="1:32" x14ac:dyDescent="0.45">
      <c r="A45" s="9" t="str">
        <f t="shared" ref="A45" si="164">IF(A44="","",TEXT(A44,"(aaa)"))</f>
        <v>(土)</v>
      </c>
      <c r="B45" s="6" t="str">
        <f>IF(AND($A44&lt;&gt;"",$V44=FALSE),$Q$7,IF($V44=TRUE,"---",""))</f>
        <v>---</v>
      </c>
      <c r="C45" s="6" t="str">
        <f>IF(AND(A44&lt;&gt;"",$V44=FALSE),IF(R45=0,"",IF(Q45&gt;$Q$2+U45,R45+1,R45)),IF($V44=TRUE,"---",""))</f>
        <v>---</v>
      </c>
      <c r="D45" s="31"/>
      <c r="E45" s="24"/>
      <c r="F45" s="25"/>
      <c r="G45" s="25"/>
      <c r="H45" s="25"/>
      <c r="I45" s="25"/>
      <c r="J45" s="25"/>
      <c r="K45" s="25"/>
      <c r="L45" s="25"/>
      <c r="M45" s="25"/>
      <c r="P45" s="7" t="s">
        <v>30</v>
      </c>
      <c r="Q45" s="17">
        <f t="shared" si="2"/>
        <v>45430</v>
      </c>
      <c r="R45" s="8"/>
      <c r="S45" s="27"/>
      <c r="U45" s="14">
        <v>17</v>
      </c>
      <c r="V45" s="15"/>
      <c r="W45" s="15">
        <f t="shared" ref="W45" si="165">IF(V44=FALSE,IF(C45&lt;&gt;"",IF(C45&gt;(22/24),(22/24)-B45,C45-B45),0),0)</f>
        <v>0</v>
      </c>
      <c r="X45" s="15">
        <f t="shared" ref="X45" si="166">IF(V44=FALSE,IF(C45&lt;&gt;"",IF(C45&gt;(22/24),C45-(22/24),0),0),0)</f>
        <v>0</v>
      </c>
      <c r="Y45" s="15">
        <f t="shared" ref="Y45" si="167">IF(V44=TRUE,IF(C44&lt;&gt;"",IF(C44&gt;(22/24),(22/24)-(12/24),C44-(12/24)),0),0)</f>
        <v>0</v>
      </c>
      <c r="Z45" s="15">
        <f t="shared" ref="Z45" si="168">IF(V44=TRUE,IF(C44&lt;&gt;"",IF(C44&gt;(22/24),C44-(22/24),0),0),0)</f>
        <v>0</v>
      </c>
      <c r="AA45" s="21"/>
      <c r="AB45" s="21"/>
      <c r="AC45" s="21"/>
      <c r="AD45" s="21"/>
      <c r="AF45" s="16">
        <v>0.35416666666666702</v>
      </c>
    </row>
    <row r="46" spans="1:32" x14ac:dyDescent="0.45">
      <c r="A46" s="5">
        <f>IF((EOMONTH($Q$2,0)-$Q$2)&gt;=$U46,$Q$2+$U46,"")</f>
        <v>45431</v>
      </c>
      <c r="B46" s="6" t="str">
        <f>IF(A46&lt;&gt;"",IF(R46=0,"",R46),"")</f>
        <v/>
      </c>
      <c r="C46" s="6" t="str">
        <f>IF(AND($A46&lt;&gt;"",$V46=FALSE),$Q$6,IF(R47=0,"",IF(Q47&gt;$Q$2+U46,R47+1,R47)))</f>
        <v/>
      </c>
      <c r="D46" s="30">
        <f>SUM(W46:Z47)</f>
        <v>0</v>
      </c>
      <c r="E46" s="23" t="str">
        <f>IF(S46&lt;&gt;"",S46,"")</f>
        <v/>
      </c>
      <c r="F46" s="25">
        <f>IF(ROUNDUP(AA46*24,0)&gt;60,60,ROUNDUP(AA46*24,0))</f>
        <v>12</v>
      </c>
      <c r="G46" s="25" t="str">
        <f>IF(ROUNDUP(AA46*24,0)&gt;60,ROUNDUP(AA46*24,0)-60,"")</f>
        <v/>
      </c>
      <c r="H46" s="25">
        <f>IF(ROUNDUP(AB46*24,0)&gt;60,60,ROUNDUP(AB46*24,0))</f>
        <v>5</v>
      </c>
      <c r="I46" s="25" t="str">
        <f>IF(ROUNDUP(AB46*24,0)&gt;60,ROUNDUP(AB46*24,0)-60,"")</f>
        <v/>
      </c>
      <c r="J46" s="25">
        <f>IF(ROUNDUP(AC46*24,0)&gt;60,60,ROUNDUP(AC46*24,0))</f>
        <v>8</v>
      </c>
      <c r="K46" s="25" t="str">
        <f>IF(ROUNDUP(AC46*24,0)&gt;60,ROUNDUP(AC46*24,0)-60,"")</f>
        <v/>
      </c>
      <c r="L46" s="25">
        <f>IF(ROUNDUP(AD46*24,0)&gt;60,60,ROUNDUP(AD46*24,0))</f>
        <v>3</v>
      </c>
      <c r="M46" s="25" t="str">
        <f>IF(ROUNDUP(AD46*24,0)&gt;60,ROUNDUP(AD46*24,0)-60,"")</f>
        <v/>
      </c>
      <c r="P46" s="7" t="s">
        <v>26</v>
      </c>
      <c r="Q46" s="17">
        <f t="shared" si="2"/>
        <v>45431</v>
      </c>
      <c r="R46" s="8"/>
      <c r="S46" s="27"/>
      <c r="U46" s="12">
        <v>18</v>
      </c>
      <c r="V46" s="13" t="b">
        <f t="shared" ref="V46" si="169">IF(A46&lt;&gt;"",IF(OR(WEEKDAY(A46)=1,WEEKDAY(A46)=7),TRUE,FALSE),"")</f>
        <v>1</v>
      </c>
      <c r="W46" s="13">
        <f t="shared" ref="W46" si="170">IF(V46=FALSE,IF(B46&lt;&gt;"",IF(B46&lt;(5/24),B47-(5/24),B47-B46),0),0)</f>
        <v>0</v>
      </c>
      <c r="X46" s="13">
        <f t="shared" ref="X46" si="171">IF(V46=FALSE,IF(B46&lt;&gt;"",IF(B46&lt;(5/24),(5/24)-B46,0),0),0)</f>
        <v>0</v>
      </c>
      <c r="Y46" s="13">
        <f t="shared" ref="Y46" si="172">IF(V46=TRUE,IF(B46&lt;&gt;"",IF(B46&lt;(5/24),(12/24)-(5/24),(12/24)-B46),0),0)</f>
        <v>0</v>
      </c>
      <c r="Z46" s="13">
        <f t="shared" ref="Z46" si="173">IF(V46=TRUE,IF(B46&lt;(5/24),(5/24)-B46,0),0)</f>
        <v>0</v>
      </c>
      <c r="AA46" s="20">
        <f>SUM(W46:W47,W10:W45)</f>
        <v>0.49791666666666656</v>
      </c>
      <c r="AB46" s="20">
        <f>SUM(X46:X47,X10:X45)</f>
        <v>0.20763888888888904</v>
      </c>
      <c r="AC46" s="20">
        <f>SUM(Y46:Y47,Y10:Y45)</f>
        <v>0.33333333333333331</v>
      </c>
      <c r="AD46" s="20">
        <f>SUM(Z46:Z47,Z10:Z45)</f>
        <v>0.12500000000000011</v>
      </c>
      <c r="AF46" s="16">
        <v>0.36458333333333298</v>
      </c>
    </row>
    <row r="47" spans="1:32" x14ac:dyDescent="0.45">
      <c r="A47" s="9" t="str">
        <f t="shared" ref="A47" si="174">IF(A46="","",TEXT(A46,"(aaa)"))</f>
        <v>(日)</v>
      </c>
      <c r="B47" s="6" t="str">
        <f>IF(AND($A46&lt;&gt;"",$V46=FALSE),$Q$7,IF($V46=TRUE,"---",""))</f>
        <v>---</v>
      </c>
      <c r="C47" s="6" t="str">
        <f>IF(AND(A46&lt;&gt;"",$V46=FALSE),IF(R47=0,"",IF(Q47&gt;$Q$2+U47,R47+1,R47)),IF($V46=TRUE,"---",""))</f>
        <v>---</v>
      </c>
      <c r="D47" s="31"/>
      <c r="E47" s="24"/>
      <c r="F47" s="25"/>
      <c r="G47" s="25"/>
      <c r="H47" s="25"/>
      <c r="I47" s="25"/>
      <c r="J47" s="25"/>
      <c r="K47" s="25"/>
      <c r="L47" s="25"/>
      <c r="M47" s="25"/>
      <c r="P47" s="7" t="s">
        <v>30</v>
      </c>
      <c r="Q47" s="17">
        <f t="shared" si="2"/>
        <v>45431</v>
      </c>
      <c r="R47" s="8"/>
      <c r="S47" s="27"/>
      <c r="U47" s="14">
        <v>18</v>
      </c>
      <c r="V47" s="15"/>
      <c r="W47" s="15">
        <f t="shared" ref="W47" si="175">IF(V46=FALSE,IF(C47&lt;&gt;"",IF(C47&gt;(22/24),(22/24)-B47,C47-B47),0),0)</f>
        <v>0</v>
      </c>
      <c r="X47" s="15">
        <f t="shared" ref="X47" si="176">IF(V46=FALSE,IF(C47&lt;&gt;"",IF(C47&gt;(22/24),C47-(22/24),0),0),0)</f>
        <v>0</v>
      </c>
      <c r="Y47" s="15">
        <f t="shared" ref="Y47" si="177">IF(V46=TRUE,IF(C46&lt;&gt;"",IF(C46&gt;(22/24),(22/24)-(12/24),C46-(12/24)),0),0)</f>
        <v>0</v>
      </c>
      <c r="Z47" s="15">
        <f t="shared" ref="Z47" si="178">IF(V46=TRUE,IF(C46&lt;&gt;"",IF(C46&gt;(22/24),C46-(22/24),0),0),0)</f>
        <v>0</v>
      </c>
      <c r="AA47" s="21"/>
      <c r="AB47" s="21"/>
      <c r="AC47" s="21"/>
      <c r="AD47" s="21"/>
      <c r="AF47" s="16">
        <v>0.375</v>
      </c>
    </row>
    <row r="48" spans="1:32" x14ac:dyDescent="0.45">
      <c r="A48" s="5">
        <f>IF((EOMONTH($Q$2,0)-$Q$2)&gt;=$U48,$Q$2+$U48,"")</f>
        <v>45432</v>
      </c>
      <c r="B48" s="6" t="str">
        <f>IF(A48&lt;&gt;"",IF(R48=0,"",R48),"")</f>
        <v/>
      </c>
      <c r="C48" s="6">
        <f>IF(AND($A48&lt;&gt;"",$V48=FALSE),$Q$6,IF(R49=0,"",IF(Q49&gt;$Q$2+U48,R49+1,R49)))</f>
        <v>0.35416666666666669</v>
      </c>
      <c r="D48" s="30">
        <f>SUM(W48:Z49)</f>
        <v>0</v>
      </c>
      <c r="E48" s="23" t="str">
        <f>IF(S48&lt;&gt;"",S48,"")</f>
        <v/>
      </c>
      <c r="F48" s="25">
        <f>IF(ROUNDUP(AA48*24,0)&gt;60,60,ROUNDUP(AA48*24,0))</f>
        <v>12</v>
      </c>
      <c r="G48" s="25" t="str">
        <f>IF(ROUNDUP(AA48*24,0)&gt;60,ROUNDUP(AA48*24,0)-60,"")</f>
        <v/>
      </c>
      <c r="H48" s="25">
        <f>IF(ROUNDUP(AB48*24,0)&gt;60,60,ROUNDUP(AB48*24,0))</f>
        <v>5</v>
      </c>
      <c r="I48" s="25" t="str">
        <f>IF(ROUNDUP(AB48*24,0)&gt;60,ROUNDUP(AB48*24,0)-60,"")</f>
        <v/>
      </c>
      <c r="J48" s="25">
        <f>IF(ROUNDUP(AC48*24,0)&gt;60,60,ROUNDUP(AC48*24,0))</f>
        <v>8</v>
      </c>
      <c r="K48" s="25" t="str">
        <f>IF(ROUNDUP(AC48*24,0)&gt;60,ROUNDUP(AC48*24,0)-60,"")</f>
        <v/>
      </c>
      <c r="L48" s="25">
        <f>IF(ROUNDUP(AD48*24,0)&gt;60,60,ROUNDUP(AD48*24,0))</f>
        <v>3</v>
      </c>
      <c r="M48" s="25" t="str">
        <f>IF(ROUNDUP(AD48*24,0)&gt;60,ROUNDUP(AD48*24,0)-60,"")</f>
        <v/>
      </c>
      <c r="P48" s="7" t="s">
        <v>26</v>
      </c>
      <c r="Q48" s="17">
        <f t="shared" si="2"/>
        <v>45432</v>
      </c>
      <c r="R48" s="8"/>
      <c r="S48" s="27"/>
      <c r="U48" s="12">
        <v>19</v>
      </c>
      <c r="V48" s="13" t="b">
        <f t="shared" ref="V48" si="179">IF(A48&lt;&gt;"",IF(OR(WEEKDAY(A48)=1,WEEKDAY(A48)=7),TRUE,FALSE),"")</f>
        <v>0</v>
      </c>
      <c r="W48" s="13">
        <f t="shared" ref="W48" si="180">IF(V48=FALSE,IF(B48&lt;&gt;"",IF(B48&lt;(5/24),B49-(5/24),B49-B48),0),0)</f>
        <v>0</v>
      </c>
      <c r="X48" s="13">
        <f t="shared" ref="X48" si="181">IF(V48=FALSE,IF(B48&lt;&gt;"",IF(B48&lt;(5/24),(5/24)-B48,0),0),0)</f>
        <v>0</v>
      </c>
      <c r="Y48" s="13">
        <f t="shared" ref="Y48" si="182">IF(V48=TRUE,IF(B48&lt;&gt;"",IF(B48&lt;(5/24),(12/24)-(5/24),(12/24)-B48),0),0)</f>
        <v>0</v>
      </c>
      <c r="Z48" s="13">
        <f t="shared" ref="Z48" si="183">IF(V48=TRUE,IF(B48&lt;(5/24),(5/24)-B48,0),0)</f>
        <v>0</v>
      </c>
      <c r="AA48" s="20">
        <f>SUM(W48:W49,W10:W47)</f>
        <v>0.49791666666666656</v>
      </c>
      <c r="AB48" s="20">
        <f>SUM(X48:X49,X10:X47)</f>
        <v>0.20763888888888904</v>
      </c>
      <c r="AC48" s="20">
        <f>SUM(Y48:Y49,Y10:Y47)</f>
        <v>0.33333333333333331</v>
      </c>
      <c r="AD48" s="20">
        <f>SUM(Z48:Z49,Z10:Z47)</f>
        <v>0.12500000000000011</v>
      </c>
      <c r="AF48" s="16">
        <v>0.38541666666666702</v>
      </c>
    </row>
    <row r="49" spans="1:32" x14ac:dyDescent="0.45">
      <c r="A49" s="9" t="str">
        <f t="shared" ref="A49" si="184">IF(A48="","",TEXT(A48,"(aaa)"))</f>
        <v>(月)</v>
      </c>
      <c r="B49" s="6">
        <f>IF(AND($A48&lt;&gt;"",$V48=FALSE),$Q$7,IF($V48=TRUE,"---",""))</f>
        <v>0.71875</v>
      </c>
      <c r="C49" s="6" t="str">
        <f>IF(AND(A48&lt;&gt;"",$V48=FALSE),IF(R49=0,"",IF(Q49&gt;$Q$2+U49,R49+1,R49)),IF($V48=TRUE,"---",""))</f>
        <v/>
      </c>
      <c r="D49" s="31"/>
      <c r="E49" s="24"/>
      <c r="F49" s="25"/>
      <c r="G49" s="25"/>
      <c r="H49" s="25"/>
      <c r="I49" s="25"/>
      <c r="J49" s="25"/>
      <c r="K49" s="25"/>
      <c r="L49" s="25"/>
      <c r="M49" s="25"/>
      <c r="P49" s="7" t="s">
        <v>30</v>
      </c>
      <c r="Q49" s="17">
        <f t="shared" si="2"/>
        <v>45432</v>
      </c>
      <c r="R49" s="8"/>
      <c r="S49" s="27"/>
      <c r="U49" s="14">
        <v>19</v>
      </c>
      <c r="V49" s="15"/>
      <c r="W49" s="15">
        <f t="shared" ref="W49" si="185">IF(V48=FALSE,IF(C49&lt;&gt;"",IF(C49&gt;(22/24),(22/24)-B49,C49-B49),0),0)</f>
        <v>0</v>
      </c>
      <c r="X49" s="15">
        <f t="shared" ref="X49" si="186">IF(V48=FALSE,IF(C49&lt;&gt;"",IF(C49&gt;(22/24),C49-(22/24),0),0),0)</f>
        <v>0</v>
      </c>
      <c r="Y49" s="15">
        <f t="shared" ref="Y49" si="187">IF(V48=TRUE,IF(C48&lt;&gt;"",IF(C48&gt;(22/24),(22/24)-(12/24),C48-(12/24)),0),0)</f>
        <v>0</v>
      </c>
      <c r="Z49" s="15">
        <f t="shared" ref="Z49" si="188">IF(V48=TRUE,IF(C48&lt;&gt;"",IF(C48&gt;(22/24),C48-(22/24),0),0),0)</f>
        <v>0</v>
      </c>
      <c r="AA49" s="21"/>
      <c r="AB49" s="21"/>
      <c r="AC49" s="21"/>
      <c r="AD49" s="21"/>
      <c r="AF49" s="16">
        <v>0.39583333333333298</v>
      </c>
    </row>
    <row r="50" spans="1:32" x14ac:dyDescent="0.45">
      <c r="A50" s="5">
        <f>IF((EOMONTH($Q$2,0)-$Q$2)&gt;=$U50,$Q$2+$U50,"")</f>
        <v>45433</v>
      </c>
      <c r="B50" s="6" t="str">
        <f>IF(A50&lt;&gt;"",IF(R50=0,"",R50),"")</f>
        <v/>
      </c>
      <c r="C50" s="6">
        <f>IF(AND($A50&lt;&gt;"",$V50=FALSE),$Q$6,IF(R51=0,"",IF(Q51&gt;$Q$2+U50,R51+1,R51)))</f>
        <v>0.35416666666666669</v>
      </c>
      <c r="D50" s="30">
        <f>SUM(W50:Z51)</f>
        <v>0</v>
      </c>
      <c r="E50" s="23" t="str">
        <f>IF(S50&lt;&gt;"",S50,"")</f>
        <v/>
      </c>
      <c r="F50" s="25">
        <f>IF(ROUNDUP(AA50*24,0)&gt;60,60,ROUNDUP(AA50*24,0))</f>
        <v>12</v>
      </c>
      <c r="G50" s="25" t="str">
        <f>IF(ROUNDUP(AA50*24,0)&gt;60,ROUNDUP(AA50*24,0)-60,"")</f>
        <v/>
      </c>
      <c r="H50" s="25">
        <f>IF(ROUNDUP(AB50*24,0)&gt;60,60,ROUNDUP(AB50*24,0))</f>
        <v>5</v>
      </c>
      <c r="I50" s="25" t="str">
        <f>IF(ROUNDUP(AB50*24,0)&gt;60,ROUNDUP(AB50*24,0)-60,"")</f>
        <v/>
      </c>
      <c r="J50" s="25">
        <f>IF(ROUNDUP(AC50*24,0)&gt;60,60,ROUNDUP(AC50*24,0))</f>
        <v>8</v>
      </c>
      <c r="K50" s="25" t="str">
        <f>IF(ROUNDUP(AC50*24,0)&gt;60,ROUNDUP(AC50*24,0)-60,"")</f>
        <v/>
      </c>
      <c r="L50" s="25">
        <f>IF(ROUNDUP(AD50*24,0)&gt;60,60,ROUNDUP(AD50*24,0))</f>
        <v>3</v>
      </c>
      <c r="M50" s="25" t="str">
        <f>IF(ROUNDUP(AD50*24,0)&gt;60,ROUNDUP(AD50*24,0)-60,"")</f>
        <v/>
      </c>
      <c r="P50" s="7" t="s">
        <v>26</v>
      </c>
      <c r="Q50" s="17">
        <f t="shared" si="2"/>
        <v>45433</v>
      </c>
      <c r="R50" s="8"/>
      <c r="S50" s="27"/>
      <c r="U50" s="12">
        <v>20</v>
      </c>
      <c r="V50" s="13" t="b">
        <f t="shared" ref="V50" si="189">IF(A50&lt;&gt;"",IF(OR(WEEKDAY(A50)=1,WEEKDAY(A50)=7),TRUE,FALSE),"")</f>
        <v>0</v>
      </c>
      <c r="W50" s="13">
        <f t="shared" ref="W50" si="190">IF(V50=FALSE,IF(B50&lt;&gt;"",IF(B50&lt;(5/24),B51-(5/24),B51-B50),0),0)</f>
        <v>0</v>
      </c>
      <c r="X50" s="13">
        <f t="shared" ref="X50" si="191">IF(V50=FALSE,IF(B50&lt;&gt;"",IF(B50&lt;(5/24),(5/24)-B50,0),0),0)</f>
        <v>0</v>
      </c>
      <c r="Y50" s="13">
        <f t="shared" ref="Y50" si="192">IF(V50=TRUE,IF(B50&lt;&gt;"",IF(B50&lt;(5/24),(12/24)-(5/24),(12/24)-B50),0),0)</f>
        <v>0</v>
      </c>
      <c r="Z50" s="13">
        <f t="shared" ref="Z50" si="193">IF(V50=TRUE,IF(B50&lt;(5/24),(5/24)-B50,0),0)</f>
        <v>0</v>
      </c>
      <c r="AA50" s="20">
        <f>SUM(W50:W51,W10:W49)</f>
        <v>0.49791666666666656</v>
      </c>
      <c r="AB50" s="20">
        <f>SUM(X50:X51,X10:X49)</f>
        <v>0.20763888888888904</v>
      </c>
      <c r="AC50" s="20">
        <f>SUM(Y50:Y51,Y10:Y49)</f>
        <v>0.33333333333333331</v>
      </c>
      <c r="AD50" s="20">
        <f>SUM(Z50:Z51,Z10:Z49)</f>
        <v>0.12500000000000011</v>
      </c>
      <c r="AF50" s="16">
        <v>0.40625</v>
      </c>
    </row>
    <row r="51" spans="1:32" x14ac:dyDescent="0.45">
      <c r="A51" s="9" t="str">
        <f t="shared" ref="A51" si="194">IF(A50="","",TEXT(A50,"(aaa)"))</f>
        <v>(火)</v>
      </c>
      <c r="B51" s="6">
        <f>IF(AND($A50&lt;&gt;"",$V50=FALSE),$Q$7,IF($V50=TRUE,"---",""))</f>
        <v>0.71875</v>
      </c>
      <c r="C51" s="6" t="str">
        <f>IF(AND(A50&lt;&gt;"",$V50=FALSE),IF(R51=0,"",IF(Q51&gt;$Q$2+U51,R51+1,R51)),IF($V50=TRUE,"---",""))</f>
        <v/>
      </c>
      <c r="D51" s="31"/>
      <c r="E51" s="24"/>
      <c r="F51" s="25"/>
      <c r="G51" s="25"/>
      <c r="H51" s="25"/>
      <c r="I51" s="25"/>
      <c r="J51" s="25"/>
      <c r="K51" s="25"/>
      <c r="L51" s="25"/>
      <c r="M51" s="25"/>
      <c r="P51" s="7" t="s">
        <v>30</v>
      </c>
      <c r="Q51" s="17">
        <f t="shared" si="2"/>
        <v>45433</v>
      </c>
      <c r="R51" s="8"/>
      <c r="S51" s="27"/>
      <c r="U51" s="14">
        <v>20</v>
      </c>
      <c r="V51" s="15"/>
      <c r="W51" s="15">
        <f t="shared" ref="W51" si="195">IF(V50=FALSE,IF(C51&lt;&gt;"",IF(C51&gt;(22/24),(22/24)-B51,C51-B51),0),0)</f>
        <v>0</v>
      </c>
      <c r="X51" s="15">
        <f t="shared" ref="X51" si="196">IF(V50=FALSE,IF(C51&lt;&gt;"",IF(C51&gt;(22/24),C51-(22/24),0),0),0)</f>
        <v>0</v>
      </c>
      <c r="Y51" s="15">
        <f t="shared" ref="Y51" si="197">IF(V50=TRUE,IF(C50&lt;&gt;"",IF(C50&gt;(22/24),(22/24)-(12/24),C50-(12/24)),0),0)</f>
        <v>0</v>
      </c>
      <c r="Z51" s="15">
        <f t="shared" ref="Z51" si="198">IF(V50=TRUE,IF(C50&lt;&gt;"",IF(C50&gt;(22/24),C50-(22/24),0),0),0)</f>
        <v>0</v>
      </c>
      <c r="AA51" s="21"/>
      <c r="AB51" s="21"/>
      <c r="AC51" s="21"/>
      <c r="AD51" s="21"/>
      <c r="AF51" s="16">
        <v>0.41666666666666702</v>
      </c>
    </row>
    <row r="52" spans="1:32" x14ac:dyDescent="0.45">
      <c r="A52" s="5">
        <f>IF((EOMONTH($Q$2,0)-$Q$2)&gt;=$U52,$Q$2+$U52,"")</f>
        <v>45434</v>
      </c>
      <c r="B52" s="6" t="str">
        <f>IF(A52&lt;&gt;"",IF(R52=0,"",R52),"")</f>
        <v/>
      </c>
      <c r="C52" s="6">
        <f>IF(AND($A52&lt;&gt;"",$V52=FALSE),$Q$6,IF(R53=0,"",IF(Q53&gt;$Q$2+U52,R53+1,R53)))</f>
        <v>0.35416666666666669</v>
      </c>
      <c r="D52" s="30">
        <f>SUM(W52:Z53)</f>
        <v>0</v>
      </c>
      <c r="E52" s="23" t="str">
        <f>IF(S52&lt;&gt;"",S52,"")</f>
        <v/>
      </c>
      <c r="F52" s="25">
        <f>IF(ROUNDUP(AA52*24,0)&gt;60,60,ROUNDUP(AA52*24,0))</f>
        <v>12</v>
      </c>
      <c r="G52" s="25" t="str">
        <f>IF(ROUNDUP(AA52*24,0)&gt;60,ROUNDUP(AA52*24,0)-60,"")</f>
        <v/>
      </c>
      <c r="H52" s="25">
        <f>IF(ROUNDUP(AB52*24,0)&gt;60,60,ROUNDUP(AB52*24,0))</f>
        <v>5</v>
      </c>
      <c r="I52" s="25" t="str">
        <f>IF(ROUNDUP(AB52*24,0)&gt;60,ROUNDUP(AB52*24,0)-60,"")</f>
        <v/>
      </c>
      <c r="J52" s="25">
        <f>IF(ROUNDUP(AC52*24,0)&gt;60,60,ROUNDUP(AC52*24,0))</f>
        <v>8</v>
      </c>
      <c r="K52" s="25" t="str">
        <f>IF(ROUNDUP(AC52*24,0)&gt;60,ROUNDUP(AC52*24,0)-60,"")</f>
        <v/>
      </c>
      <c r="L52" s="25">
        <f>IF(ROUNDUP(AD52*24,0)&gt;60,60,ROUNDUP(AD52*24,0))</f>
        <v>3</v>
      </c>
      <c r="M52" s="25" t="str">
        <f>IF(ROUNDUP(AD52*24,0)&gt;60,ROUNDUP(AD52*24,0)-60,"")</f>
        <v/>
      </c>
      <c r="P52" s="7" t="s">
        <v>26</v>
      </c>
      <c r="Q52" s="17">
        <f t="shared" si="2"/>
        <v>45434</v>
      </c>
      <c r="R52" s="8"/>
      <c r="S52" s="27"/>
      <c r="U52" s="12">
        <v>21</v>
      </c>
      <c r="V52" s="13" t="b">
        <f t="shared" ref="V52" si="199">IF(A52&lt;&gt;"",IF(OR(WEEKDAY(A52)=1,WEEKDAY(A52)=7),TRUE,FALSE),"")</f>
        <v>0</v>
      </c>
      <c r="W52" s="13">
        <f t="shared" ref="W52" si="200">IF(V52=FALSE,IF(B52&lt;&gt;"",IF(B52&lt;(5/24),B53-(5/24),B53-B52),0),0)</f>
        <v>0</v>
      </c>
      <c r="X52" s="13">
        <f t="shared" ref="X52" si="201">IF(V52=FALSE,IF(B52&lt;&gt;"",IF(B52&lt;(5/24),(5/24)-B52,0),0),0)</f>
        <v>0</v>
      </c>
      <c r="Y52" s="13">
        <f t="shared" ref="Y52" si="202">IF(V52=TRUE,IF(B52&lt;&gt;"",IF(B52&lt;(5/24),(12/24)-(5/24),(12/24)-B52),0),0)</f>
        <v>0</v>
      </c>
      <c r="Z52" s="13">
        <f t="shared" ref="Z52" si="203">IF(V52=TRUE,IF(B52&lt;(5/24),(5/24)-B52,0),0)</f>
        <v>0</v>
      </c>
      <c r="AA52" s="20">
        <f>SUM(W52:W53,W10:W51)</f>
        <v>0.49791666666666656</v>
      </c>
      <c r="AB52" s="20">
        <f>SUM(X52:X53,X10:X51)</f>
        <v>0.20763888888888904</v>
      </c>
      <c r="AC52" s="20">
        <f>SUM(Y52:Y53,Y10:Y51)</f>
        <v>0.33333333333333331</v>
      </c>
      <c r="AD52" s="20">
        <f>SUM(Z52:Z53,Z10:Z51)</f>
        <v>0.12500000000000011</v>
      </c>
      <c r="AF52" s="16">
        <v>0.42708333333333298</v>
      </c>
    </row>
    <row r="53" spans="1:32" x14ac:dyDescent="0.45">
      <c r="A53" s="9" t="str">
        <f t="shared" ref="A53" si="204">IF(A52="","",TEXT(A52,"(aaa)"))</f>
        <v>(水)</v>
      </c>
      <c r="B53" s="6">
        <f>IF(AND($A52&lt;&gt;"",$V52=FALSE),$Q$7,IF($V52=TRUE,"---",""))</f>
        <v>0.71875</v>
      </c>
      <c r="C53" s="6" t="str">
        <f>IF(AND(A52&lt;&gt;"",$V52=FALSE),IF(R53=0,"",IF(Q53&gt;$Q$2+U53,R53+1,R53)),IF($V52=TRUE,"---",""))</f>
        <v/>
      </c>
      <c r="D53" s="31"/>
      <c r="E53" s="24"/>
      <c r="F53" s="25"/>
      <c r="G53" s="25"/>
      <c r="H53" s="25"/>
      <c r="I53" s="25"/>
      <c r="J53" s="25"/>
      <c r="K53" s="25"/>
      <c r="L53" s="25"/>
      <c r="M53" s="25"/>
      <c r="P53" s="7" t="s">
        <v>30</v>
      </c>
      <c r="Q53" s="17">
        <f t="shared" si="2"/>
        <v>45434</v>
      </c>
      <c r="R53" s="8"/>
      <c r="S53" s="27"/>
      <c r="U53" s="14">
        <v>21</v>
      </c>
      <c r="V53" s="15"/>
      <c r="W53" s="15">
        <f t="shared" ref="W53" si="205">IF(V52=FALSE,IF(C53&lt;&gt;"",IF(C53&gt;(22/24),(22/24)-B53,C53-B53),0),0)</f>
        <v>0</v>
      </c>
      <c r="X53" s="15">
        <f t="shared" ref="X53" si="206">IF(V52=FALSE,IF(C53&lt;&gt;"",IF(C53&gt;(22/24),C53-(22/24),0),0),0)</f>
        <v>0</v>
      </c>
      <c r="Y53" s="15">
        <f t="shared" ref="Y53" si="207">IF(V52=TRUE,IF(C52&lt;&gt;"",IF(C52&gt;(22/24),(22/24)-(12/24),C52-(12/24)),0),0)</f>
        <v>0</v>
      </c>
      <c r="Z53" s="15">
        <f t="shared" ref="Z53" si="208">IF(V52=TRUE,IF(C52&lt;&gt;"",IF(C52&gt;(22/24),C52-(22/24),0),0),0)</f>
        <v>0</v>
      </c>
      <c r="AA53" s="21"/>
      <c r="AB53" s="21"/>
      <c r="AC53" s="21"/>
      <c r="AD53" s="21"/>
      <c r="AF53" s="16">
        <v>0.4375</v>
      </c>
    </row>
    <row r="54" spans="1:32" x14ac:dyDescent="0.45">
      <c r="A54" s="5">
        <f>IF((EOMONTH($Q$2,0)-$Q$2)&gt;=$U54,$Q$2+$U54,"")</f>
        <v>45435</v>
      </c>
      <c r="B54" s="6" t="str">
        <f>IF(A54&lt;&gt;"",IF(R54=0,"",R54),"")</f>
        <v/>
      </c>
      <c r="C54" s="6">
        <f>IF(AND($A54&lt;&gt;"",$V54=FALSE),$Q$6,IF(R55=0,"",IF(Q55&gt;$Q$2+U54,R55+1,R55)))</f>
        <v>0.35416666666666669</v>
      </c>
      <c r="D54" s="30">
        <f>SUM(W54:Z55)</f>
        <v>0</v>
      </c>
      <c r="E54" s="23" t="str">
        <f>IF(S54&lt;&gt;"",S54,"")</f>
        <v/>
      </c>
      <c r="F54" s="25">
        <f>IF(ROUNDUP(AA54*24,0)&gt;60,60,ROUNDUP(AA54*24,0))</f>
        <v>12</v>
      </c>
      <c r="G54" s="25" t="str">
        <f>IF(ROUNDUP(AA54*24,0)&gt;60,ROUNDUP(AA54*24,0)-60,"")</f>
        <v/>
      </c>
      <c r="H54" s="25">
        <f>IF(ROUNDUP(AB54*24,0)&gt;60,60,ROUNDUP(AB54*24,0))</f>
        <v>5</v>
      </c>
      <c r="I54" s="25" t="str">
        <f>IF(ROUNDUP(AB54*24,0)&gt;60,ROUNDUP(AB54*24,0)-60,"")</f>
        <v/>
      </c>
      <c r="J54" s="25">
        <f>IF(ROUNDUP(AC54*24,0)&gt;60,60,ROUNDUP(AC54*24,0))</f>
        <v>8</v>
      </c>
      <c r="K54" s="25" t="str">
        <f>IF(ROUNDUP(AC54*24,0)&gt;60,ROUNDUP(AC54*24,0)-60,"")</f>
        <v/>
      </c>
      <c r="L54" s="25">
        <f>IF(ROUNDUP(AD54*24,0)&gt;60,60,ROUNDUP(AD54*24,0))</f>
        <v>3</v>
      </c>
      <c r="M54" s="25" t="str">
        <f>IF(ROUNDUP(AD54*24,0)&gt;60,ROUNDUP(AD54*24,0)-60,"")</f>
        <v/>
      </c>
      <c r="P54" s="7" t="s">
        <v>26</v>
      </c>
      <c r="Q54" s="17">
        <f t="shared" si="2"/>
        <v>45435</v>
      </c>
      <c r="R54" s="8"/>
      <c r="S54" s="27"/>
      <c r="U54" s="12">
        <v>22</v>
      </c>
      <c r="V54" s="13" t="b">
        <f t="shared" ref="V54" si="209">IF(A54&lt;&gt;"",IF(OR(WEEKDAY(A54)=1,WEEKDAY(A54)=7),TRUE,FALSE),"")</f>
        <v>0</v>
      </c>
      <c r="W54" s="13">
        <f t="shared" ref="W54" si="210">IF(V54=FALSE,IF(B54&lt;&gt;"",IF(B54&lt;(5/24),B55-(5/24),B55-B54),0),0)</f>
        <v>0</v>
      </c>
      <c r="X54" s="13">
        <f t="shared" ref="X54" si="211">IF(V54=FALSE,IF(B54&lt;&gt;"",IF(B54&lt;(5/24),(5/24)-B54,0),0),0)</f>
        <v>0</v>
      </c>
      <c r="Y54" s="13">
        <f t="shared" ref="Y54" si="212">IF(V54=TRUE,IF(B54&lt;&gt;"",IF(B54&lt;(5/24),(12/24)-(5/24),(12/24)-B54),0),0)</f>
        <v>0</v>
      </c>
      <c r="Z54" s="13">
        <f t="shared" ref="Z54" si="213">IF(V54=TRUE,IF(B54&lt;(5/24),(5/24)-B54,0),0)</f>
        <v>0</v>
      </c>
      <c r="AA54" s="20">
        <f>SUM(W54:W55,W10:W53)</f>
        <v>0.49791666666666656</v>
      </c>
      <c r="AB54" s="20">
        <f>SUM(X54:X55,X10:X53)</f>
        <v>0.20763888888888904</v>
      </c>
      <c r="AC54" s="20">
        <f>SUM(Y54:Y55,Y10:Y53)</f>
        <v>0.33333333333333331</v>
      </c>
      <c r="AD54" s="20">
        <f>SUM(Z54:Z55,Z10:Z53)</f>
        <v>0.12500000000000011</v>
      </c>
      <c r="AF54" s="16">
        <v>0.44791666666666702</v>
      </c>
    </row>
    <row r="55" spans="1:32" x14ac:dyDescent="0.45">
      <c r="A55" s="9" t="str">
        <f t="shared" ref="A55" si="214">IF(A54="","",TEXT(A54,"(aaa)"))</f>
        <v>(木)</v>
      </c>
      <c r="B55" s="6">
        <f>IF(AND($A54&lt;&gt;"",$V54=FALSE),$Q$7,IF($V54=TRUE,"---",""))</f>
        <v>0.71875</v>
      </c>
      <c r="C55" s="6" t="str">
        <f>IF(AND(A54&lt;&gt;"",$V54=FALSE),IF(R55=0,"",IF(Q55&gt;$Q$2+U55,R55+1,R55)),IF($V54=TRUE,"---",""))</f>
        <v/>
      </c>
      <c r="D55" s="31"/>
      <c r="E55" s="24"/>
      <c r="F55" s="25"/>
      <c r="G55" s="25"/>
      <c r="H55" s="25"/>
      <c r="I55" s="25"/>
      <c r="J55" s="25"/>
      <c r="K55" s="25"/>
      <c r="L55" s="25"/>
      <c r="M55" s="25"/>
      <c r="P55" s="7" t="s">
        <v>30</v>
      </c>
      <c r="Q55" s="17">
        <f t="shared" si="2"/>
        <v>45435</v>
      </c>
      <c r="R55" s="8"/>
      <c r="S55" s="27"/>
      <c r="U55" s="14">
        <v>22</v>
      </c>
      <c r="V55" s="15"/>
      <c r="W55" s="15">
        <f t="shared" ref="W55" si="215">IF(V54=FALSE,IF(C55&lt;&gt;"",IF(C55&gt;(22/24),(22/24)-B55,C55-B55),0),0)</f>
        <v>0</v>
      </c>
      <c r="X55" s="15">
        <f t="shared" ref="X55" si="216">IF(V54=FALSE,IF(C55&lt;&gt;"",IF(C55&gt;(22/24),C55-(22/24),0),0),0)</f>
        <v>0</v>
      </c>
      <c r="Y55" s="15">
        <f t="shared" ref="Y55" si="217">IF(V54=TRUE,IF(C54&lt;&gt;"",IF(C54&gt;(22/24),(22/24)-(12/24),C54-(12/24)),0),0)</f>
        <v>0</v>
      </c>
      <c r="Z55" s="15">
        <f t="shared" ref="Z55" si="218">IF(V54=TRUE,IF(C54&lt;&gt;"",IF(C54&gt;(22/24),C54-(22/24),0),0),0)</f>
        <v>0</v>
      </c>
      <c r="AA55" s="21"/>
      <c r="AB55" s="21"/>
      <c r="AC55" s="21"/>
      <c r="AD55" s="21"/>
      <c r="AF55" s="16">
        <v>0.45833333333333298</v>
      </c>
    </row>
    <row r="56" spans="1:32" x14ac:dyDescent="0.45">
      <c r="A56" s="5">
        <f>IF((EOMONTH($Q$2,0)-$Q$2)&gt;=$U56,$Q$2+$U56,"")</f>
        <v>45436</v>
      </c>
      <c r="B56" s="6" t="str">
        <f>IF(A56&lt;&gt;"",IF(R56=0,"",R56),"")</f>
        <v/>
      </c>
      <c r="C56" s="6">
        <f>IF(AND($A56&lt;&gt;"",$V56=FALSE),$Q$6,IF(R57=0,"",IF(Q57&gt;$Q$2+U56,R57+1,R57)))</f>
        <v>0.35416666666666669</v>
      </c>
      <c r="D56" s="30">
        <f>SUM(W56:Z57)</f>
        <v>0</v>
      </c>
      <c r="E56" s="23" t="str">
        <f>IF(S56&lt;&gt;"",S56,"")</f>
        <v/>
      </c>
      <c r="F56" s="25">
        <f>IF(ROUNDUP(AA56*24,0)&gt;60,60,ROUNDUP(AA56*24,0))</f>
        <v>12</v>
      </c>
      <c r="G56" s="25" t="str">
        <f>IF(ROUNDUP(AA56*24,0)&gt;60,ROUNDUP(AA56*24,0)-60,"")</f>
        <v/>
      </c>
      <c r="H56" s="25">
        <f>IF(ROUNDUP(AB56*24,0)&gt;60,60,ROUNDUP(AB56*24,0))</f>
        <v>5</v>
      </c>
      <c r="I56" s="25" t="str">
        <f>IF(ROUNDUP(AB56*24,0)&gt;60,ROUNDUP(AB56*24,0)-60,"")</f>
        <v/>
      </c>
      <c r="J56" s="25">
        <f>IF(ROUNDUP(AC56*24,0)&gt;60,60,ROUNDUP(AC56*24,0))</f>
        <v>8</v>
      </c>
      <c r="K56" s="25" t="str">
        <f>IF(ROUNDUP(AC56*24,0)&gt;60,ROUNDUP(AC56*24,0)-60,"")</f>
        <v/>
      </c>
      <c r="L56" s="25">
        <f>IF(ROUNDUP(AD56*24,0)&gt;60,60,ROUNDUP(AD56*24,0))</f>
        <v>3</v>
      </c>
      <c r="M56" s="25" t="str">
        <f>IF(ROUNDUP(AD56*24,0)&gt;60,ROUNDUP(AD56*24,0)-60,"")</f>
        <v/>
      </c>
      <c r="P56" s="7" t="s">
        <v>26</v>
      </c>
      <c r="Q56" s="17">
        <f t="shared" si="2"/>
        <v>45436</v>
      </c>
      <c r="R56" s="8"/>
      <c r="S56" s="27"/>
      <c r="U56" s="12">
        <v>23</v>
      </c>
      <c r="V56" s="13" t="b">
        <f t="shared" ref="V56" si="219">IF(A56&lt;&gt;"",IF(OR(WEEKDAY(A56)=1,WEEKDAY(A56)=7),TRUE,FALSE),"")</f>
        <v>0</v>
      </c>
      <c r="W56" s="13">
        <f t="shared" ref="W56" si="220">IF(V56=FALSE,IF(B56&lt;&gt;"",IF(B56&lt;(5/24),B57-(5/24),B57-B56),0),0)</f>
        <v>0</v>
      </c>
      <c r="X56" s="13">
        <f t="shared" ref="X56" si="221">IF(V56=FALSE,IF(B56&lt;&gt;"",IF(B56&lt;(5/24),(5/24)-B56,0),0),0)</f>
        <v>0</v>
      </c>
      <c r="Y56" s="13">
        <f t="shared" ref="Y56" si="222">IF(V56=TRUE,IF(B56&lt;&gt;"",IF(B56&lt;(5/24),(12/24)-(5/24),(12/24)-B56),0),0)</f>
        <v>0</v>
      </c>
      <c r="Z56" s="13">
        <f t="shared" ref="Z56" si="223">IF(V56=TRUE,IF(B56&lt;(5/24),(5/24)-B56,0),0)</f>
        <v>0</v>
      </c>
      <c r="AA56" s="20">
        <f>SUM(W56:W57,W10:W55)</f>
        <v>0.49791666666666656</v>
      </c>
      <c r="AB56" s="20">
        <f>SUM(X56:X57,X10:X55)</f>
        <v>0.20763888888888904</v>
      </c>
      <c r="AC56" s="20">
        <f>SUM(Y56:Y57,Y10:Y55)</f>
        <v>0.33333333333333331</v>
      </c>
      <c r="AD56" s="20">
        <f>SUM(Z56:Z57,Z10:Z55)</f>
        <v>0.12500000000000011</v>
      </c>
      <c r="AF56" s="16">
        <v>0.46875</v>
      </c>
    </row>
    <row r="57" spans="1:32" x14ac:dyDescent="0.45">
      <c r="A57" s="9" t="str">
        <f t="shared" ref="A57" si="224">IF(A56="","",TEXT(A56,"(aaa)"))</f>
        <v>(金)</v>
      </c>
      <c r="B57" s="6">
        <f>IF(AND($A56&lt;&gt;"",$V56=FALSE),$Q$7,IF($V56=TRUE,"---",""))</f>
        <v>0.71875</v>
      </c>
      <c r="C57" s="6" t="str">
        <f>IF(AND(A56&lt;&gt;"",$V56=FALSE),IF(R57=0,"",IF(Q57&gt;$Q$2+U57,R57+1,R57)),IF($V56=TRUE,"---",""))</f>
        <v/>
      </c>
      <c r="D57" s="31"/>
      <c r="E57" s="24"/>
      <c r="F57" s="25"/>
      <c r="G57" s="25"/>
      <c r="H57" s="25"/>
      <c r="I57" s="25"/>
      <c r="J57" s="25"/>
      <c r="K57" s="25"/>
      <c r="L57" s="25"/>
      <c r="M57" s="25"/>
      <c r="P57" s="7" t="s">
        <v>30</v>
      </c>
      <c r="Q57" s="17">
        <f t="shared" si="2"/>
        <v>45436</v>
      </c>
      <c r="R57" s="8"/>
      <c r="S57" s="27"/>
      <c r="U57" s="14">
        <v>23</v>
      </c>
      <c r="V57" s="15"/>
      <c r="W57" s="15">
        <f t="shared" ref="W57" si="225">IF(V56=FALSE,IF(C57&lt;&gt;"",IF(C57&gt;(22/24),(22/24)-B57,C57-B57),0),0)</f>
        <v>0</v>
      </c>
      <c r="X57" s="15">
        <f t="shared" ref="X57" si="226">IF(V56=FALSE,IF(C57&lt;&gt;"",IF(C57&gt;(22/24),C57-(22/24),0),0),0)</f>
        <v>0</v>
      </c>
      <c r="Y57" s="15">
        <f t="shared" ref="Y57" si="227">IF(V56=TRUE,IF(C56&lt;&gt;"",IF(C56&gt;(22/24),(22/24)-(12/24),C56-(12/24)),0),0)</f>
        <v>0</v>
      </c>
      <c r="Z57" s="15">
        <f t="shared" ref="Z57" si="228">IF(V56=TRUE,IF(C56&lt;&gt;"",IF(C56&gt;(22/24),C56-(22/24),0),0),0)</f>
        <v>0</v>
      </c>
      <c r="AA57" s="21"/>
      <c r="AB57" s="21"/>
      <c r="AC57" s="21"/>
      <c r="AD57" s="21"/>
      <c r="AF57" s="16">
        <v>0.47916666666666702</v>
      </c>
    </row>
    <row r="58" spans="1:32" x14ac:dyDescent="0.45">
      <c r="A58" s="5">
        <f>IF((EOMONTH($Q$2,0)-$Q$2)&gt;=$U58,$Q$2+$U58,"")</f>
        <v>45437</v>
      </c>
      <c r="B58" s="6" t="str">
        <f>IF(A58&lt;&gt;"",IF(R58=0,"",R58),"")</f>
        <v/>
      </c>
      <c r="C58" s="6" t="str">
        <f>IF(AND($A58&lt;&gt;"",$V58=FALSE),$Q$6,IF(R59=0,"",IF(Q59&gt;$Q$2+U58,R59+1,R59)))</f>
        <v/>
      </c>
      <c r="D58" s="30">
        <f>SUM(W58:Z59)</f>
        <v>0</v>
      </c>
      <c r="E58" s="23" t="str">
        <f>IF(S58&lt;&gt;"",S58,"")</f>
        <v/>
      </c>
      <c r="F58" s="25">
        <f>IF(ROUNDUP(AA58*24,0)&gt;60,60,ROUNDUP(AA58*24,0))</f>
        <v>12</v>
      </c>
      <c r="G58" s="25" t="str">
        <f>IF(ROUNDUP(AA58*24,0)&gt;60,ROUNDUP(AA58*24,0)-60,"")</f>
        <v/>
      </c>
      <c r="H58" s="25">
        <f>IF(ROUNDUP(AB58*24,0)&gt;60,60,ROUNDUP(AB58*24,0))</f>
        <v>5</v>
      </c>
      <c r="I58" s="25" t="str">
        <f>IF(ROUNDUP(AB58*24,0)&gt;60,ROUNDUP(AB58*24,0)-60,"")</f>
        <v/>
      </c>
      <c r="J58" s="25">
        <f>IF(ROUNDUP(AC58*24,0)&gt;60,60,ROUNDUP(AC58*24,0))</f>
        <v>8</v>
      </c>
      <c r="K58" s="25" t="str">
        <f>IF(ROUNDUP(AC58*24,0)&gt;60,ROUNDUP(AC58*24,0)-60,"")</f>
        <v/>
      </c>
      <c r="L58" s="25">
        <f>IF(ROUNDUP(AD58*24,0)&gt;60,60,ROUNDUP(AD58*24,0))</f>
        <v>3</v>
      </c>
      <c r="M58" s="25" t="str">
        <f>IF(ROUNDUP(AD58*24,0)&gt;60,ROUNDUP(AD58*24,0)-60,"")</f>
        <v/>
      </c>
      <c r="P58" s="7" t="s">
        <v>26</v>
      </c>
      <c r="Q58" s="17">
        <f t="shared" si="2"/>
        <v>45437</v>
      </c>
      <c r="R58" s="8"/>
      <c r="S58" s="27"/>
      <c r="U58" s="12">
        <v>24</v>
      </c>
      <c r="V58" s="13" t="b">
        <f t="shared" ref="V58" si="229">IF(A58&lt;&gt;"",IF(OR(WEEKDAY(A58)=1,WEEKDAY(A58)=7),TRUE,FALSE),"")</f>
        <v>1</v>
      </c>
      <c r="W58" s="13">
        <f t="shared" ref="W58" si="230">IF(V58=FALSE,IF(B58&lt;&gt;"",IF(B58&lt;(5/24),B59-(5/24),B59-B58),0),0)</f>
        <v>0</v>
      </c>
      <c r="X58" s="13">
        <f t="shared" ref="X58" si="231">IF(V58=FALSE,IF(B58&lt;&gt;"",IF(B58&lt;(5/24),(5/24)-B58,0),0),0)</f>
        <v>0</v>
      </c>
      <c r="Y58" s="13">
        <f t="shared" ref="Y58" si="232">IF(V58=TRUE,IF(B58&lt;&gt;"",IF(B58&lt;(5/24),(12/24)-(5/24),(12/24)-B58),0),0)</f>
        <v>0</v>
      </c>
      <c r="Z58" s="13">
        <f t="shared" ref="Z58" si="233">IF(V58=TRUE,IF(B58&lt;(5/24),(5/24)-B58,0),0)</f>
        <v>0</v>
      </c>
      <c r="AA58" s="20">
        <f>SUM(W58:W59,W10:W57)</f>
        <v>0.49791666666666656</v>
      </c>
      <c r="AB58" s="20">
        <f>SUM(X58:X59,X10:X57)</f>
        <v>0.20763888888888904</v>
      </c>
      <c r="AC58" s="20">
        <f>SUM(Y58:Y59,Y10:Y57)</f>
        <v>0.33333333333333331</v>
      </c>
      <c r="AD58" s="20">
        <f>SUM(Z58:Z59,Z10:Z57)</f>
        <v>0.12500000000000011</v>
      </c>
      <c r="AF58" s="16">
        <v>0.48958333333333298</v>
      </c>
    </row>
    <row r="59" spans="1:32" x14ac:dyDescent="0.45">
      <c r="A59" s="9" t="str">
        <f t="shared" ref="A59" si="234">IF(A58="","",TEXT(A58,"(aaa)"))</f>
        <v>(土)</v>
      </c>
      <c r="B59" s="6" t="str">
        <f>IF(AND($A58&lt;&gt;"",$V58=FALSE),$Q$7,IF($V58=TRUE,"---",""))</f>
        <v>---</v>
      </c>
      <c r="C59" s="6" t="str">
        <f>IF(AND(A58&lt;&gt;"",$V58=FALSE),IF(R59=0,"",IF(Q59&gt;$Q$2+U59,R59+1,R59)),IF($V58=TRUE,"---",""))</f>
        <v>---</v>
      </c>
      <c r="D59" s="31"/>
      <c r="E59" s="24"/>
      <c r="F59" s="25"/>
      <c r="G59" s="25"/>
      <c r="H59" s="25"/>
      <c r="I59" s="25"/>
      <c r="J59" s="25"/>
      <c r="K59" s="25"/>
      <c r="L59" s="25"/>
      <c r="M59" s="25"/>
      <c r="P59" s="7" t="s">
        <v>30</v>
      </c>
      <c r="Q59" s="17">
        <f t="shared" si="2"/>
        <v>45437</v>
      </c>
      <c r="R59" s="8"/>
      <c r="S59" s="27"/>
      <c r="U59" s="14">
        <v>24</v>
      </c>
      <c r="V59" s="15"/>
      <c r="W59" s="15">
        <f t="shared" ref="W59" si="235">IF(V58=FALSE,IF(C59&lt;&gt;"",IF(C59&gt;(22/24),(22/24)-B59,C59-B59),0),0)</f>
        <v>0</v>
      </c>
      <c r="X59" s="15">
        <f t="shared" ref="X59" si="236">IF(V58=FALSE,IF(C59&lt;&gt;"",IF(C59&gt;(22/24),C59-(22/24),0),0),0)</f>
        <v>0</v>
      </c>
      <c r="Y59" s="15">
        <f t="shared" ref="Y59" si="237">IF(V58=TRUE,IF(C58&lt;&gt;"",IF(C58&gt;(22/24),(22/24)-(12/24),C58-(12/24)),0),0)</f>
        <v>0</v>
      </c>
      <c r="Z59" s="15">
        <f t="shared" ref="Z59" si="238">IF(V58=TRUE,IF(C58&lt;&gt;"",IF(C58&gt;(22/24),C58-(22/24),0),0),0)</f>
        <v>0</v>
      </c>
      <c r="AA59" s="21"/>
      <c r="AB59" s="21"/>
      <c r="AC59" s="21"/>
      <c r="AD59" s="21"/>
      <c r="AF59" s="16">
        <v>0.5</v>
      </c>
    </row>
    <row r="60" spans="1:32" x14ac:dyDescent="0.45">
      <c r="A60" s="5">
        <f>IF((EOMONTH($Q$2,0)-$Q$2)&gt;=$U60,$Q$2+$U60,"")</f>
        <v>45438</v>
      </c>
      <c r="B60" s="6" t="str">
        <f>IF(A60&lt;&gt;"",IF(R60=0,"",R60),"")</f>
        <v/>
      </c>
      <c r="C60" s="6" t="str">
        <f>IF(AND($A60&lt;&gt;"",$V60=FALSE),$Q$6,IF(R61=0,"",IF(Q61&gt;$Q$2+U60,R61+1,R61)))</f>
        <v/>
      </c>
      <c r="D60" s="30">
        <f>SUM(W60:Z61)</f>
        <v>0</v>
      </c>
      <c r="E60" s="23" t="str">
        <f>IF(S60&lt;&gt;"",S60,"")</f>
        <v/>
      </c>
      <c r="F60" s="25">
        <f>IF(ROUNDUP(AA60*24,0)&gt;60,60,ROUNDUP(AA60*24,0))</f>
        <v>12</v>
      </c>
      <c r="G60" s="25" t="str">
        <f>IF(ROUNDUP(AA60*24,0)&gt;60,ROUNDUP(AA60*24,0)-60,"")</f>
        <v/>
      </c>
      <c r="H60" s="25">
        <f>IF(ROUNDUP(AB60*24,0)&gt;60,60,ROUNDUP(AB60*24,0))</f>
        <v>5</v>
      </c>
      <c r="I60" s="25" t="str">
        <f>IF(ROUNDUP(AB60*24,0)&gt;60,ROUNDUP(AB60*24,0)-60,"")</f>
        <v/>
      </c>
      <c r="J60" s="25">
        <f>IF(ROUNDUP(AC60*24,0)&gt;60,60,ROUNDUP(AC60*24,0))</f>
        <v>8</v>
      </c>
      <c r="K60" s="25" t="str">
        <f>IF(ROUNDUP(AC60*24,0)&gt;60,ROUNDUP(AC60*24,0)-60,"")</f>
        <v/>
      </c>
      <c r="L60" s="25">
        <f>IF(ROUNDUP(AD60*24,0)&gt;60,60,ROUNDUP(AD60*24,0))</f>
        <v>3</v>
      </c>
      <c r="M60" s="25" t="str">
        <f>IF(ROUNDUP(AD60*24,0)&gt;60,ROUNDUP(AD60*24,0)-60,"")</f>
        <v/>
      </c>
      <c r="P60" s="7" t="s">
        <v>26</v>
      </c>
      <c r="Q60" s="17">
        <f t="shared" si="2"/>
        <v>45438</v>
      </c>
      <c r="R60" s="8"/>
      <c r="S60" s="27"/>
      <c r="U60" s="12">
        <v>25</v>
      </c>
      <c r="V60" s="13" t="b">
        <f t="shared" ref="V60" si="239">IF(A60&lt;&gt;"",IF(OR(WEEKDAY(A60)=1,WEEKDAY(A60)=7),TRUE,FALSE),"")</f>
        <v>1</v>
      </c>
      <c r="W60" s="13">
        <f t="shared" ref="W60" si="240">IF(V60=FALSE,IF(B60&lt;&gt;"",IF(B60&lt;(5/24),B61-(5/24),B61-B60),0),0)</f>
        <v>0</v>
      </c>
      <c r="X60" s="13">
        <f t="shared" ref="X60" si="241">IF(V60=FALSE,IF(B60&lt;&gt;"",IF(B60&lt;(5/24),(5/24)-B60,0),0),0)</f>
        <v>0</v>
      </c>
      <c r="Y60" s="13">
        <f t="shared" ref="Y60" si="242">IF(V60=TRUE,IF(B60&lt;&gt;"",IF(B60&lt;(5/24),(12/24)-(5/24),(12/24)-B60),0),0)</f>
        <v>0</v>
      </c>
      <c r="Z60" s="13">
        <f t="shared" ref="Z60" si="243">IF(V60=TRUE,IF(B60&lt;(5/24),(5/24)-B60,0),0)</f>
        <v>0</v>
      </c>
      <c r="AA60" s="20">
        <f>SUM(W60:W61,W10:W59)</f>
        <v>0.49791666666666656</v>
      </c>
      <c r="AB60" s="20">
        <f>SUM(X60:X61,X10:X59)</f>
        <v>0.20763888888888904</v>
      </c>
      <c r="AC60" s="20">
        <f>SUM(Y60:Y61,Y10:Y59)</f>
        <v>0.33333333333333331</v>
      </c>
      <c r="AD60" s="20">
        <f>SUM(Z60:Z61,Z10:Z59)</f>
        <v>0.12500000000000011</v>
      </c>
      <c r="AF60" s="16">
        <v>0.51041666666666696</v>
      </c>
    </row>
    <row r="61" spans="1:32" x14ac:dyDescent="0.45">
      <c r="A61" s="9" t="str">
        <f t="shared" ref="A61" si="244">IF(A60="","",TEXT(A60,"(aaa)"))</f>
        <v>(日)</v>
      </c>
      <c r="B61" s="6" t="str">
        <f>IF(AND($A60&lt;&gt;"",$V60=FALSE),$Q$7,IF($V60=TRUE,"---",""))</f>
        <v>---</v>
      </c>
      <c r="C61" s="6" t="str">
        <f>IF(AND(A60&lt;&gt;"",$V60=FALSE),IF(R61=0,"",IF(Q61&gt;$Q$2+U61,R61+1,R61)),IF($V60=TRUE,"---",""))</f>
        <v>---</v>
      </c>
      <c r="D61" s="31"/>
      <c r="E61" s="24"/>
      <c r="F61" s="25"/>
      <c r="G61" s="25"/>
      <c r="H61" s="25"/>
      <c r="I61" s="25"/>
      <c r="J61" s="25"/>
      <c r="K61" s="25"/>
      <c r="L61" s="25"/>
      <c r="M61" s="25"/>
      <c r="P61" s="7" t="s">
        <v>30</v>
      </c>
      <c r="Q61" s="17">
        <f t="shared" si="2"/>
        <v>45438</v>
      </c>
      <c r="R61" s="8"/>
      <c r="S61" s="27"/>
      <c r="U61" s="12">
        <v>25</v>
      </c>
      <c r="V61" s="15"/>
      <c r="W61" s="15">
        <f t="shared" ref="W61" si="245">IF(V60=FALSE,IF(C61&lt;&gt;"",IF(C61&gt;(22/24),(22/24)-B61,C61-B61),0),0)</f>
        <v>0</v>
      </c>
      <c r="X61" s="15">
        <f t="shared" ref="X61" si="246">IF(V60=FALSE,IF(C61&lt;&gt;"",IF(C61&gt;(22/24),C61-(22/24),0),0),0)</f>
        <v>0</v>
      </c>
      <c r="Y61" s="15">
        <f t="shared" ref="Y61" si="247">IF(V60=TRUE,IF(C60&lt;&gt;"",IF(C60&gt;(22/24),(22/24)-(12/24),C60-(12/24)),0),0)</f>
        <v>0</v>
      </c>
      <c r="Z61" s="15">
        <f t="shared" ref="Z61" si="248">IF(V60=TRUE,IF(C60&lt;&gt;"",IF(C60&gt;(22/24),C60-(22/24),0),0),0)</f>
        <v>0</v>
      </c>
      <c r="AA61" s="21"/>
      <c r="AB61" s="21"/>
      <c r="AC61" s="21"/>
      <c r="AD61" s="21"/>
      <c r="AF61" s="16">
        <v>0.52083333333333304</v>
      </c>
    </row>
    <row r="62" spans="1:32" x14ac:dyDescent="0.45">
      <c r="A62" s="5">
        <f>IF((EOMONTH($Q$2,0)-$Q$2)&gt;=$U62,$Q$2+$U62,"")</f>
        <v>45439</v>
      </c>
      <c r="B62" s="6" t="str">
        <f>IF(A62&lt;&gt;"",IF(R62=0,"",R62),"")</f>
        <v/>
      </c>
      <c r="C62" s="6">
        <f>IF(AND($A62&lt;&gt;"",$V62=FALSE),$Q$6,IF(R63=0,"",IF(Q63&gt;$Q$2+U62,R63+1,R63)))</f>
        <v>0.35416666666666669</v>
      </c>
      <c r="D62" s="30">
        <f>SUM(W62:Z63)</f>
        <v>0</v>
      </c>
      <c r="E62" s="23" t="str">
        <f>IF(S62&lt;&gt;"",S62,"")</f>
        <v/>
      </c>
      <c r="F62" s="25">
        <f>IF(ROUNDUP(AA62*24,0)&gt;60,60,ROUNDUP(AA62*24,0))</f>
        <v>12</v>
      </c>
      <c r="G62" s="25" t="str">
        <f>IF(ROUNDUP(AA62*24,0)&gt;60,ROUNDUP(AA62*24,0)-60,"")</f>
        <v/>
      </c>
      <c r="H62" s="25">
        <f>IF(ROUNDUP(AB62*24,0)&gt;60,60,ROUNDUP(AB62*24,0))</f>
        <v>5</v>
      </c>
      <c r="I62" s="25" t="str">
        <f>IF(ROUNDUP(AB62*24,0)&gt;60,ROUNDUP(AB62*24,0)-60,"")</f>
        <v/>
      </c>
      <c r="J62" s="25">
        <f>IF(ROUNDUP(AC62*24,0)&gt;60,60,ROUNDUP(AC62*24,0))</f>
        <v>8</v>
      </c>
      <c r="K62" s="25" t="str">
        <f>IF(ROUNDUP(AC62*24,0)&gt;60,ROUNDUP(AC62*24,0)-60,"")</f>
        <v/>
      </c>
      <c r="L62" s="25">
        <f>IF(ROUNDUP(AD62*24,0)&gt;60,60,ROUNDUP(AD62*24,0))</f>
        <v>3</v>
      </c>
      <c r="M62" s="25" t="str">
        <f>IF(ROUNDUP(AD62*24,0)&gt;60,ROUNDUP(AD62*24,0)-60,"")</f>
        <v/>
      </c>
      <c r="P62" s="7" t="s">
        <v>26</v>
      </c>
      <c r="Q62" s="17">
        <f t="shared" si="2"/>
        <v>45439</v>
      </c>
      <c r="R62" s="8"/>
      <c r="S62" s="27"/>
      <c r="U62" s="12">
        <v>26</v>
      </c>
      <c r="V62" s="13" t="b">
        <f t="shared" ref="V62" si="249">IF(A62&lt;&gt;"",IF(OR(WEEKDAY(A62)=1,WEEKDAY(A62)=7),TRUE,FALSE),"")</f>
        <v>0</v>
      </c>
      <c r="W62" s="13">
        <f t="shared" ref="W62" si="250">IF(V62=FALSE,IF(B62&lt;&gt;"",IF(B62&lt;(5/24),B63-(5/24),B63-B62),0),0)</f>
        <v>0</v>
      </c>
      <c r="X62" s="13">
        <f t="shared" ref="X62" si="251">IF(V62=FALSE,IF(B62&lt;&gt;"",IF(B62&lt;(5/24),(5/24)-B62,0),0),0)</f>
        <v>0</v>
      </c>
      <c r="Y62" s="13">
        <f t="shared" ref="Y62" si="252">IF(V62=TRUE,IF(B62&lt;&gt;"",IF(B62&lt;(5/24),(12/24)-(5/24),(12/24)-B62),0),0)</f>
        <v>0</v>
      </c>
      <c r="Z62" s="13">
        <f t="shared" ref="Z62" si="253">IF(V62=TRUE,IF(B62&lt;(5/24),(5/24)-B62,0),0)</f>
        <v>0</v>
      </c>
      <c r="AA62" s="20">
        <f>SUM(W62:W63,W10:W61)</f>
        <v>0.49791666666666656</v>
      </c>
      <c r="AB62" s="20">
        <f>SUM(X62:X63,X10:X61)</f>
        <v>0.20763888888888904</v>
      </c>
      <c r="AC62" s="20">
        <f>SUM(Y62:Y63,Y10:Y61)</f>
        <v>0.33333333333333331</v>
      </c>
      <c r="AD62" s="20">
        <f>SUM(Z62:Z63,Z10:Z61)</f>
        <v>0.12500000000000011</v>
      </c>
      <c r="AF62" s="16">
        <v>0.53125</v>
      </c>
    </row>
    <row r="63" spans="1:32" x14ac:dyDescent="0.45">
      <c r="A63" s="9" t="str">
        <f t="shared" ref="A63" si="254">IF(A62="","",TEXT(A62,"(aaa)"))</f>
        <v>(月)</v>
      </c>
      <c r="B63" s="6">
        <f>IF(AND($A62&lt;&gt;"",$V62=FALSE),$Q$7,IF($V62=TRUE,"---",""))</f>
        <v>0.71875</v>
      </c>
      <c r="C63" s="6" t="str">
        <f>IF(AND(A62&lt;&gt;"",$V62=FALSE),IF(R63=0,"",IF(Q63&gt;$Q$2+U63,R63+1,R63)),IF($V62=TRUE,"---",""))</f>
        <v/>
      </c>
      <c r="D63" s="31"/>
      <c r="E63" s="24"/>
      <c r="F63" s="25"/>
      <c r="G63" s="25"/>
      <c r="H63" s="25"/>
      <c r="I63" s="25"/>
      <c r="J63" s="25"/>
      <c r="K63" s="25"/>
      <c r="L63" s="25"/>
      <c r="M63" s="25"/>
      <c r="P63" s="7" t="s">
        <v>30</v>
      </c>
      <c r="Q63" s="17">
        <f t="shared" si="2"/>
        <v>45439</v>
      </c>
      <c r="R63" s="8"/>
      <c r="S63" s="27"/>
      <c r="U63" s="14">
        <v>26</v>
      </c>
      <c r="V63" s="15"/>
      <c r="W63" s="15">
        <f t="shared" ref="W63" si="255">IF(V62=FALSE,IF(C63&lt;&gt;"",IF(C63&gt;(22/24),(22/24)-B63,C63-B63),0),0)</f>
        <v>0</v>
      </c>
      <c r="X63" s="15">
        <f t="shared" ref="X63" si="256">IF(V62=FALSE,IF(C63&lt;&gt;"",IF(C63&gt;(22/24),C63-(22/24),0),0),0)</f>
        <v>0</v>
      </c>
      <c r="Y63" s="15">
        <f t="shared" ref="Y63" si="257">IF(V62=TRUE,IF(C62&lt;&gt;"",IF(C62&gt;(22/24),(22/24)-(12/24),C62-(12/24)),0),0)</f>
        <v>0</v>
      </c>
      <c r="Z63" s="15">
        <f t="shared" ref="Z63" si="258">IF(V62=TRUE,IF(C62&lt;&gt;"",IF(C62&gt;(22/24),C62-(22/24),0),0),0)</f>
        <v>0</v>
      </c>
      <c r="AA63" s="21"/>
      <c r="AB63" s="21"/>
      <c r="AC63" s="21"/>
      <c r="AD63" s="21"/>
      <c r="AF63" s="16">
        <v>0.54166666666666696</v>
      </c>
    </row>
    <row r="64" spans="1:32" x14ac:dyDescent="0.45">
      <c r="A64" s="5">
        <f>IF((EOMONTH($Q$2,0)-$Q$2)&gt;=$U64,$Q$2+$U64,"")</f>
        <v>45440</v>
      </c>
      <c r="B64" s="6" t="str">
        <f>IF(A64&lt;&gt;"",IF(R64=0,"",R64),"")</f>
        <v/>
      </c>
      <c r="C64" s="6">
        <f>IF(AND($A64&lt;&gt;"",$V64=FALSE),$Q$6,IF(R65=0,"",IF(Q65&gt;$Q$2+U64,R65+1,R65)))</f>
        <v>0.35416666666666669</v>
      </c>
      <c r="D64" s="30">
        <f>SUM(W64:Z65)</f>
        <v>0</v>
      </c>
      <c r="E64" s="23" t="str">
        <f>IF(S64&lt;&gt;"",S64,"")</f>
        <v/>
      </c>
      <c r="F64" s="25">
        <f>IF(ROUNDUP(AA64*24,0)&gt;60,60,ROUNDUP(AA64*24,0))</f>
        <v>12</v>
      </c>
      <c r="G64" s="25" t="str">
        <f>IF(ROUNDUP(AA64*24,0)&gt;60,ROUNDUP(AA64*24,0)-60,"")</f>
        <v/>
      </c>
      <c r="H64" s="25">
        <f>IF(ROUNDUP(AB64*24,0)&gt;60,60,ROUNDUP(AB64*24,0))</f>
        <v>5</v>
      </c>
      <c r="I64" s="25" t="str">
        <f>IF(ROUNDUP(AB64*24,0)&gt;60,ROUNDUP(AB64*24,0)-60,"")</f>
        <v/>
      </c>
      <c r="J64" s="25">
        <f>IF(ROUNDUP(AC64*24,0)&gt;60,60,ROUNDUP(AC64*24,0))</f>
        <v>8</v>
      </c>
      <c r="K64" s="25" t="str">
        <f>IF(ROUNDUP(AC64*24,0)&gt;60,ROUNDUP(AC64*24,0)-60,"")</f>
        <v/>
      </c>
      <c r="L64" s="25">
        <f>IF(ROUNDUP(AD64*24,0)&gt;60,60,ROUNDUP(AD64*24,0))</f>
        <v>3</v>
      </c>
      <c r="M64" s="25" t="str">
        <f>IF(ROUNDUP(AD64*24,0)&gt;60,ROUNDUP(AD64*24,0)-60,"")</f>
        <v/>
      </c>
      <c r="P64" s="7" t="s">
        <v>26</v>
      </c>
      <c r="Q64" s="17">
        <f t="shared" si="2"/>
        <v>45440</v>
      </c>
      <c r="R64" s="8"/>
      <c r="S64" s="27"/>
      <c r="U64" s="12">
        <v>27</v>
      </c>
      <c r="V64" s="13" t="b">
        <f t="shared" ref="V64" si="259">IF(A64&lt;&gt;"",IF(OR(WEEKDAY(A64)=1,WEEKDAY(A64)=7),TRUE,FALSE),"")</f>
        <v>0</v>
      </c>
      <c r="W64" s="13">
        <f t="shared" ref="W64" si="260">IF(V64=FALSE,IF(B64&lt;&gt;"",IF(B64&lt;(5/24),B65-(5/24),B65-B64),0),0)</f>
        <v>0</v>
      </c>
      <c r="X64" s="13">
        <f t="shared" ref="X64" si="261">IF(V64=FALSE,IF(B64&lt;&gt;"",IF(B64&lt;(5/24),(5/24)-B64,0),0),0)</f>
        <v>0</v>
      </c>
      <c r="Y64" s="13">
        <f t="shared" ref="Y64" si="262">IF(V64=TRUE,IF(B64&lt;&gt;"",IF(B64&lt;(5/24),(12/24)-(5/24),(12/24)-B64),0),0)</f>
        <v>0</v>
      </c>
      <c r="Z64" s="13">
        <f t="shared" ref="Z64" si="263">IF(V64=TRUE,IF(B64&lt;(5/24),(5/24)-B64,0),0)</f>
        <v>0</v>
      </c>
      <c r="AA64" s="20">
        <f>SUM(W64:W65,W10:W63)</f>
        <v>0.49791666666666656</v>
      </c>
      <c r="AB64" s="20">
        <f>SUM(X64:X65,X10:X63)</f>
        <v>0.20763888888888904</v>
      </c>
      <c r="AC64" s="20">
        <f>SUM(Y64:Y65,Y10:Y63)</f>
        <v>0.33333333333333331</v>
      </c>
      <c r="AD64" s="20">
        <f>SUM(Z64:Z65,Z10:Z63)</f>
        <v>0.12500000000000011</v>
      </c>
      <c r="AF64" s="16">
        <v>0.55208333333333304</v>
      </c>
    </row>
    <row r="65" spans="1:32" x14ac:dyDescent="0.45">
      <c r="A65" s="9" t="str">
        <f t="shared" ref="A65" si="264">IF(A64="","",TEXT(A64,"(aaa)"))</f>
        <v>(火)</v>
      </c>
      <c r="B65" s="6">
        <f>IF(AND($A64&lt;&gt;"",$V64=FALSE),$Q$7,IF($V64=TRUE,"---",""))</f>
        <v>0.71875</v>
      </c>
      <c r="C65" s="6" t="str">
        <f>IF(AND(A64&lt;&gt;"",$V64=FALSE),IF(R65=0,"",IF(Q65&gt;$Q$2+U65,R65+1,R65)),IF($V64=TRUE,"---",""))</f>
        <v/>
      </c>
      <c r="D65" s="31"/>
      <c r="E65" s="24"/>
      <c r="F65" s="25"/>
      <c r="G65" s="25"/>
      <c r="H65" s="25"/>
      <c r="I65" s="25"/>
      <c r="J65" s="25"/>
      <c r="K65" s="25"/>
      <c r="L65" s="25"/>
      <c r="M65" s="25"/>
      <c r="P65" s="7" t="s">
        <v>30</v>
      </c>
      <c r="Q65" s="17">
        <f t="shared" si="2"/>
        <v>45440</v>
      </c>
      <c r="R65" s="8"/>
      <c r="S65" s="27"/>
      <c r="U65" s="14">
        <v>27</v>
      </c>
      <c r="V65" s="15"/>
      <c r="W65" s="15">
        <f t="shared" ref="W65" si="265">IF(V64=FALSE,IF(C65&lt;&gt;"",IF(C65&gt;(22/24),(22/24)-B65,C65-B65),0),0)</f>
        <v>0</v>
      </c>
      <c r="X65" s="15">
        <f t="shared" ref="X65" si="266">IF(V64=FALSE,IF(C65&lt;&gt;"",IF(C65&gt;(22/24),C65-(22/24),0),0),0)</f>
        <v>0</v>
      </c>
      <c r="Y65" s="15">
        <f t="shared" ref="Y65" si="267">IF(V64=TRUE,IF(C64&lt;&gt;"",IF(C64&gt;(22/24),(22/24)-(12/24),C64-(12/24)),0),0)</f>
        <v>0</v>
      </c>
      <c r="Z65" s="15">
        <f t="shared" ref="Z65" si="268">IF(V64=TRUE,IF(C64&lt;&gt;"",IF(C64&gt;(22/24),C64-(22/24),0),0),0)</f>
        <v>0</v>
      </c>
      <c r="AA65" s="21"/>
      <c r="AB65" s="21"/>
      <c r="AC65" s="21"/>
      <c r="AD65" s="21"/>
      <c r="AF65" s="16">
        <v>0.5625</v>
      </c>
    </row>
    <row r="66" spans="1:32" x14ac:dyDescent="0.45">
      <c r="A66" s="5">
        <f>IF((EOMONTH($Q$2,0)-$Q$2)&gt;=$U66,$Q$2+$U66,"")</f>
        <v>45441</v>
      </c>
      <c r="B66" s="6" t="str">
        <f>IF(A66&lt;&gt;"",IF(R66=0,"",R66),"")</f>
        <v/>
      </c>
      <c r="C66" s="6">
        <f>IF(AND($A66&lt;&gt;"",$V66=FALSE),$Q$6,IF(R67=0,"",IF(Q67&gt;$Q$2+U66,R67+1,R67)))</f>
        <v>0.35416666666666669</v>
      </c>
      <c r="D66" s="30">
        <f>SUM(W66:Z67)</f>
        <v>0</v>
      </c>
      <c r="E66" s="23" t="str">
        <f>IF(S66&lt;&gt;"",S66,"")</f>
        <v/>
      </c>
      <c r="F66" s="25">
        <f>IF(ROUNDUP(AA66*24,0)&gt;60,60,ROUNDUP(AA66*24,0))</f>
        <v>12</v>
      </c>
      <c r="G66" s="25" t="str">
        <f>IF(ROUNDUP(AA66*24,0)&gt;60,ROUNDUP(AA66*24,0)-60,"")</f>
        <v/>
      </c>
      <c r="H66" s="25">
        <f>IF(ROUNDUP(AB66*24,0)&gt;60,60,ROUNDUP(AB66*24,0))</f>
        <v>5</v>
      </c>
      <c r="I66" s="25" t="str">
        <f>IF(ROUNDUP(AB66*24,0)&gt;60,ROUNDUP(AB66*24,0)-60,"")</f>
        <v/>
      </c>
      <c r="J66" s="25">
        <f>IF(ROUNDUP(AC66*24,0)&gt;60,60,ROUNDUP(AC66*24,0))</f>
        <v>8</v>
      </c>
      <c r="K66" s="25" t="str">
        <f>IF(ROUNDUP(AC66*24,0)&gt;60,ROUNDUP(AC66*24,0)-60,"")</f>
        <v/>
      </c>
      <c r="L66" s="25">
        <f>IF(ROUNDUP(AD66*24,0)&gt;60,60,ROUNDUP(AD66*24,0))</f>
        <v>3</v>
      </c>
      <c r="M66" s="25" t="str">
        <f>IF(ROUNDUP(AD66*24,0)&gt;60,ROUNDUP(AD66*24,0)-60,"")</f>
        <v/>
      </c>
      <c r="P66" s="7" t="s">
        <v>26</v>
      </c>
      <c r="Q66" s="17">
        <f t="shared" si="2"/>
        <v>45441</v>
      </c>
      <c r="R66" s="8"/>
      <c r="S66" s="27"/>
      <c r="U66" s="12">
        <v>28</v>
      </c>
      <c r="V66" s="13" t="b">
        <f t="shared" ref="V66" si="269">IF(A66&lt;&gt;"",IF(OR(WEEKDAY(A66)=1,WEEKDAY(A66)=7),TRUE,FALSE),"")</f>
        <v>0</v>
      </c>
      <c r="W66" s="13">
        <f t="shared" ref="W66" si="270">IF(V66=FALSE,IF(B66&lt;&gt;"",IF(B66&lt;(5/24),B67-(5/24),B67-B66),0),0)</f>
        <v>0</v>
      </c>
      <c r="X66" s="13">
        <f t="shared" ref="X66" si="271">IF(V66=FALSE,IF(B66&lt;&gt;"",IF(B66&lt;(5/24),(5/24)-B66,0),0),0)</f>
        <v>0</v>
      </c>
      <c r="Y66" s="13">
        <f t="shared" ref="Y66" si="272">IF(V66=TRUE,IF(B66&lt;&gt;"",IF(B66&lt;(5/24),(12/24)-(5/24),(12/24)-B66),0),0)</f>
        <v>0</v>
      </c>
      <c r="Z66" s="13">
        <f t="shared" ref="Z66" si="273">IF(V66=TRUE,IF(B66&lt;(5/24),(5/24)-B66,0),0)</f>
        <v>0</v>
      </c>
      <c r="AA66" s="20">
        <f>SUM(W66:W67,W10:W65)</f>
        <v>0.49791666666666656</v>
      </c>
      <c r="AB66" s="20">
        <f>SUM(X66:X67,X10:X65)</f>
        <v>0.20763888888888904</v>
      </c>
      <c r="AC66" s="20">
        <f>SUM(Y66:Y67,Y10:Y65)</f>
        <v>0.33333333333333331</v>
      </c>
      <c r="AD66" s="20">
        <f>SUM(Z66:Z67,Z10:Z65)</f>
        <v>0.12500000000000011</v>
      </c>
      <c r="AF66" s="16">
        <v>0.57291666666666696</v>
      </c>
    </row>
    <row r="67" spans="1:32" x14ac:dyDescent="0.45">
      <c r="A67" s="9" t="str">
        <f t="shared" ref="A67" si="274">IF(A66="","",TEXT(A66,"(aaa)"))</f>
        <v>(水)</v>
      </c>
      <c r="B67" s="6">
        <f>IF(AND($A66&lt;&gt;"",$V66=FALSE),$Q$7,IF($V66=TRUE,"---",""))</f>
        <v>0.71875</v>
      </c>
      <c r="C67" s="6" t="str">
        <f>IF(AND(A66&lt;&gt;"",$V66=FALSE),IF(R67=0,"",IF(Q67&gt;$Q$2+U67,R67+1,R67)),IF($V66=TRUE,"---",""))</f>
        <v/>
      </c>
      <c r="D67" s="31"/>
      <c r="E67" s="24"/>
      <c r="F67" s="25"/>
      <c r="G67" s="25"/>
      <c r="H67" s="25"/>
      <c r="I67" s="25"/>
      <c r="J67" s="25"/>
      <c r="K67" s="25"/>
      <c r="L67" s="25"/>
      <c r="M67" s="25"/>
      <c r="P67" s="7" t="s">
        <v>30</v>
      </c>
      <c r="Q67" s="17">
        <f t="shared" si="2"/>
        <v>45441</v>
      </c>
      <c r="R67" s="8"/>
      <c r="S67" s="27"/>
      <c r="U67" s="14">
        <v>28</v>
      </c>
      <c r="V67" s="15"/>
      <c r="W67" s="15">
        <f t="shared" ref="W67" si="275">IF(V66=FALSE,IF(C67&lt;&gt;"",IF(C67&gt;(22/24),(22/24)-B67,C67-B67),0),0)</f>
        <v>0</v>
      </c>
      <c r="X67" s="15">
        <f t="shared" ref="X67" si="276">IF(V66=FALSE,IF(C67&lt;&gt;"",IF(C67&gt;(22/24),C67-(22/24),0),0),0)</f>
        <v>0</v>
      </c>
      <c r="Y67" s="15">
        <f t="shared" ref="Y67" si="277">IF(V66=TRUE,IF(C66&lt;&gt;"",IF(C66&gt;(22/24),(22/24)-(12/24),C66-(12/24)),0),0)</f>
        <v>0</v>
      </c>
      <c r="Z67" s="15">
        <f t="shared" ref="Z67" si="278">IF(V66=TRUE,IF(C66&lt;&gt;"",IF(C66&gt;(22/24),C66-(22/24),0),0),0)</f>
        <v>0</v>
      </c>
      <c r="AA67" s="21"/>
      <c r="AB67" s="21"/>
      <c r="AC67" s="21"/>
      <c r="AD67" s="21"/>
      <c r="AF67" s="16">
        <v>0.58333333333333304</v>
      </c>
    </row>
    <row r="68" spans="1:32" x14ac:dyDescent="0.45">
      <c r="A68" s="5">
        <f>IF((EOMONTH($Q$2,0)-$Q$2)&gt;=$U68,$Q$2+$U68,"")</f>
        <v>45442</v>
      </c>
      <c r="B68" s="6" t="str">
        <f>IF(A68&lt;&gt;"",IF(R68=0,"",R68),"")</f>
        <v/>
      </c>
      <c r="C68" s="6">
        <f>IF(AND($A68&lt;&gt;"",$V68=FALSE),$Q$6,IF(R69=0,"",IF(Q69&gt;$Q$2+U68,R69+1,R69)))</f>
        <v>0.35416666666666669</v>
      </c>
      <c r="D68" s="30">
        <f>SUM(W68:Z69)</f>
        <v>0</v>
      </c>
      <c r="E68" s="23" t="str">
        <f>IF(S68&lt;&gt;"",S68,"")</f>
        <v/>
      </c>
      <c r="F68" s="25">
        <f>IF(ROUNDUP(AA68*24,0)&gt;60,60,ROUNDUP(AA68*24,0))</f>
        <v>12</v>
      </c>
      <c r="G68" s="25" t="str">
        <f>IF(ROUNDUP(AA68*24,0)&gt;60,ROUNDUP(AA68*24,0)-60,"")</f>
        <v/>
      </c>
      <c r="H68" s="25">
        <f>IF(ROUNDUP(AB68*24,0)&gt;60,60,ROUNDUP(AB68*24,0))</f>
        <v>5</v>
      </c>
      <c r="I68" s="25" t="str">
        <f>IF(ROUNDUP(AB68*24,0)&gt;60,ROUNDUP(AB68*24,0)-60,"")</f>
        <v/>
      </c>
      <c r="J68" s="25">
        <f>IF(ROUNDUP(AC68*24,0)&gt;60,60,ROUNDUP(AC68*24,0))</f>
        <v>8</v>
      </c>
      <c r="K68" s="25" t="str">
        <f>IF(ROUNDUP(AC68*24,0)&gt;60,ROUNDUP(AC68*24,0)-60,"")</f>
        <v/>
      </c>
      <c r="L68" s="25">
        <f>IF(ROUNDUP(AD68*24,0)&gt;60,60,ROUNDUP(AD68*24,0))</f>
        <v>3</v>
      </c>
      <c r="M68" s="25" t="str">
        <f>IF(ROUNDUP(AD68*24,0)&gt;60,ROUNDUP(AD68*24,0)-60,"")</f>
        <v/>
      </c>
      <c r="P68" s="7" t="s">
        <v>26</v>
      </c>
      <c r="Q68" s="17">
        <f t="shared" si="2"/>
        <v>45442</v>
      </c>
      <c r="R68" s="8"/>
      <c r="S68" s="27"/>
      <c r="U68" s="12">
        <v>29</v>
      </c>
      <c r="V68" s="13" t="b">
        <f t="shared" ref="V68" si="279">IF(A68&lt;&gt;"",IF(OR(WEEKDAY(A68)=1,WEEKDAY(A68)=7),TRUE,FALSE),"")</f>
        <v>0</v>
      </c>
      <c r="W68" s="13">
        <f t="shared" ref="W68" si="280">IF(V68=FALSE,IF(B68&lt;&gt;"",IF(B68&lt;(5/24),B69-(5/24),B69-B68),0),0)</f>
        <v>0</v>
      </c>
      <c r="X68" s="13">
        <f t="shared" ref="X68" si="281">IF(V68=FALSE,IF(B68&lt;&gt;"",IF(B68&lt;(5/24),(5/24)-B68,0),0),0)</f>
        <v>0</v>
      </c>
      <c r="Y68" s="13">
        <f t="shared" ref="Y68" si="282">IF(V68=TRUE,IF(B68&lt;&gt;"",IF(B68&lt;(5/24),(12/24)-(5/24),(12/24)-B68),0),0)</f>
        <v>0</v>
      </c>
      <c r="Z68" s="13">
        <f t="shared" ref="Z68" si="283">IF(V68=TRUE,IF(B68&lt;(5/24),(5/24)-B68,0),0)</f>
        <v>0</v>
      </c>
      <c r="AA68" s="20">
        <f>SUM(W68:W69,W10:W67)</f>
        <v>0.49791666666666656</v>
      </c>
      <c r="AB68" s="20">
        <f>SUM(X68:X69,X10:X67)</f>
        <v>0.20763888888888904</v>
      </c>
      <c r="AC68" s="20">
        <f>SUM(Y68:Y69,Y10:Y67)</f>
        <v>0.33333333333333331</v>
      </c>
      <c r="AD68" s="20">
        <f>SUM(Z68:Z69,Z10:Z67)</f>
        <v>0.12500000000000011</v>
      </c>
      <c r="AF68" s="16">
        <v>0.59375</v>
      </c>
    </row>
    <row r="69" spans="1:32" x14ac:dyDescent="0.45">
      <c r="A69" s="9" t="str">
        <f t="shared" ref="A69" si="284">IF(A68="","",TEXT(A68,"(aaa)"))</f>
        <v>(木)</v>
      </c>
      <c r="B69" s="6">
        <f>IF(AND($A68&lt;&gt;"",$V68=FALSE),$Q$7,IF($V68=TRUE,"---",""))</f>
        <v>0.71875</v>
      </c>
      <c r="C69" s="6" t="str">
        <f>IF(AND(A68&lt;&gt;"",$V68=FALSE),IF(R69=0,"",IF(Q69&gt;$Q$2+U69,R69+1,R69)),IF($V68=TRUE,"---",""))</f>
        <v/>
      </c>
      <c r="D69" s="31"/>
      <c r="E69" s="24"/>
      <c r="F69" s="25"/>
      <c r="G69" s="25"/>
      <c r="H69" s="25"/>
      <c r="I69" s="25"/>
      <c r="J69" s="25"/>
      <c r="K69" s="25"/>
      <c r="L69" s="25"/>
      <c r="M69" s="25"/>
      <c r="P69" s="7" t="s">
        <v>30</v>
      </c>
      <c r="Q69" s="17">
        <f t="shared" si="2"/>
        <v>45442</v>
      </c>
      <c r="R69" s="8"/>
      <c r="S69" s="27"/>
      <c r="U69" s="14">
        <v>29</v>
      </c>
      <c r="V69" s="15"/>
      <c r="W69" s="15">
        <f t="shared" ref="W69" si="285">IF(V68=FALSE,IF(C69&lt;&gt;"",IF(C69&gt;(22/24),(22/24)-B69,C69-B69),0),0)</f>
        <v>0</v>
      </c>
      <c r="X69" s="15">
        <f t="shared" ref="X69" si="286">IF(V68=FALSE,IF(C69&lt;&gt;"",IF(C69&gt;(22/24),C69-(22/24),0),0),0)</f>
        <v>0</v>
      </c>
      <c r="Y69" s="15">
        <f t="shared" ref="Y69" si="287">IF(V68=TRUE,IF(C68&lt;&gt;"",IF(C68&gt;(22/24),(22/24)-(12/24),C68-(12/24)),0),0)</f>
        <v>0</v>
      </c>
      <c r="Z69" s="15">
        <f t="shared" ref="Z69" si="288">IF(V68=TRUE,IF(C68&lt;&gt;"",IF(C68&gt;(22/24),C68-(22/24),0),0),0)</f>
        <v>0</v>
      </c>
      <c r="AA69" s="21"/>
      <c r="AB69" s="21"/>
      <c r="AC69" s="21"/>
      <c r="AD69" s="21"/>
      <c r="AF69" s="16">
        <v>0.60416666666666696</v>
      </c>
    </row>
    <row r="70" spans="1:32" x14ac:dyDescent="0.45">
      <c r="A70" s="5">
        <f>IF((EOMONTH($Q$2,0)-$Q$2)&gt;=$U70,$Q$2+$U70,"")</f>
        <v>45443</v>
      </c>
      <c r="B70" s="6" t="str">
        <f>IF(A70&lt;&gt;"",IF(R70=0,"",R70),"")</f>
        <v/>
      </c>
      <c r="C70" s="6">
        <f>IF(AND($A70&lt;&gt;"",$V70=FALSE),$Q$6,IF(R71=0,"",IF(Q71&gt;$Q$2+U70,R71+1,R71)))</f>
        <v>0.35416666666666669</v>
      </c>
      <c r="D70" s="30">
        <f>SUM(W70:Z71)</f>
        <v>0</v>
      </c>
      <c r="E70" s="23" t="str">
        <f>IF(S70&lt;&gt;"",S70,"")</f>
        <v/>
      </c>
      <c r="F70" s="25">
        <f>IF(ROUNDUP(AA70*24,0)&gt;60,60,ROUNDUP(AA70*24,0))</f>
        <v>12</v>
      </c>
      <c r="G70" s="25" t="str">
        <f>IF(ROUNDUP(AA70*24,0)&gt;60,ROUNDUP(AA70*24,0)-60,"")</f>
        <v/>
      </c>
      <c r="H70" s="25">
        <f>IF(ROUNDUP(AB70*24,0)&gt;60,60,ROUNDUP(AB70*24,0))</f>
        <v>5</v>
      </c>
      <c r="I70" s="25" t="str">
        <f>IF(ROUNDUP(AB70*24,0)&gt;60,ROUNDUP(AB70*24,0)-60,"")</f>
        <v/>
      </c>
      <c r="J70" s="25">
        <f>IF(ROUNDUP(AC70*24,0)&gt;60,60,ROUNDUP(AC70*24,0))</f>
        <v>8</v>
      </c>
      <c r="K70" s="25" t="str">
        <f>IF(ROUNDUP(AC70*24,0)&gt;60,ROUNDUP(AC70*24,0)-60,"")</f>
        <v/>
      </c>
      <c r="L70" s="25">
        <f>IF(ROUNDUP(AD70*24,0)&gt;60,60,ROUNDUP(AD70*24,0))</f>
        <v>3</v>
      </c>
      <c r="M70" s="25" t="str">
        <f>IF(ROUNDUP(AD70*24,0)&gt;60,ROUNDUP(AD70*24,0)-60,"")</f>
        <v/>
      </c>
      <c r="P70" s="7" t="s">
        <v>26</v>
      </c>
      <c r="Q70" s="17">
        <f t="shared" si="2"/>
        <v>45443</v>
      </c>
      <c r="R70" s="8"/>
      <c r="S70" s="27"/>
      <c r="U70" s="12">
        <v>30</v>
      </c>
      <c r="V70" s="13" t="b">
        <f t="shared" ref="V70" si="289">IF(A70&lt;&gt;"",IF(OR(WEEKDAY(A70)=1,WEEKDAY(A70)=7),TRUE,FALSE),"")</f>
        <v>0</v>
      </c>
      <c r="W70" s="13">
        <f t="shared" ref="W70" si="290">IF(V70=FALSE,IF(B70&lt;&gt;"",IF(B70&lt;(5/24),B71-(5/24),B71-B70),0),0)</f>
        <v>0</v>
      </c>
      <c r="X70" s="13">
        <f t="shared" ref="X70" si="291">IF(V70=FALSE,IF(B70&lt;&gt;"",IF(B70&lt;(5/24),(5/24)-B70,0),0),0)</f>
        <v>0</v>
      </c>
      <c r="Y70" s="13">
        <f t="shared" ref="Y70" si="292">IF(V70=TRUE,IF(B70&lt;&gt;"",IF(B70&lt;(5/24),(12/24)-(5/24),(12/24)-B70),0),0)</f>
        <v>0</v>
      </c>
      <c r="Z70" s="13">
        <f t="shared" ref="Z70" si="293">IF(V70=TRUE,IF(B70&lt;(5/24),(5/24)-B70,0),0)</f>
        <v>0</v>
      </c>
      <c r="AA70" s="20">
        <f>SUM(W70:W71,W10:W69)</f>
        <v>0.49791666666666656</v>
      </c>
      <c r="AB70" s="20">
        <f>SUM(X70:X71,X10:X69)</f>
        <v>0.20763888888888904</v>
      </c>
      <c r="AC70" s="20">
        <f>SUM(Y70:Y71,Y10:Y69)</f>
        <v>0.33333333333333331</v>
      </c>
      <c r="AD70" s="20">
        <f>SUM(Z70:Z71,Z10:Z69)</f>
        <v>0.12500000000000011</v>
      </c>
      <c r="AF70" s="16">
        <v>0.61458333333333304</v>
      </c>
    </row>
    <row r="71" spans="1:32" x14ac:dyDescent="0.45">
      <c r="A71" s="9" t="str">
        <f t="shared" ref="A71" si="294">IF(A70="","",TEXT(A70,"(aaa)"))</f>
        <v>(金)</v>
      </c>
      <c r="B71" s="6">
        <f>IF(AND($A70&lt;&gt;"",$V70=FALSE),$Q$7,IF($V70=TRUE,"---",""))</f>
        <v>0.71875</v>
      </c>
      <c r="C71" s="6" t="str">
        <f>IF(AND(A70&lt;&gt;"",$V70=FALSE),IF(R71=0,"",IF(Q71&gt;$Q$2+U71,R71+1,R71)),IF($V70=TRUE,"---",""))</f>
        <v/>
      </c>
      <c r="D71" s="31"/>
      <c r="E71" s="24"/>
      <c r="F71" s="25"/>
      <c r="G71" s="25"/>
      <c r="H71" s="25"/>
      <c r="I71" s="25"/>
      <c r="J71" s="25"/>
      <c r="K71" s="25"/>
      <c r="L71" s="25"/>
      <c r="M71" s="25"/>
      <c r="P71" s="7" t="s">
        <v>30</v>
      </c>
      <c r="Q71" s="17">
        <f t="shared" si="2"/>
        <v>45443</v>
      </c>
      <c r="R71" s="8"/>
      <c r="S71" s="27"/>
      <c r="U71" s="14">
        <v>30</v>
      </c>
      <c r="V71" s="15"/>
      <c r="W71" s="15">
        <f t="shared" ref="W71" si="295">IF(V70=FALSE,IF(C71&lt;&gt;"",IF(C71&gt;(22/24),(22/24)-B71,C71-B71),0),0)</f>
        <v>0</v>
      </c>
      <c r="X71" s="15">
        <f t="shared" ref="X71" si="296">IF(V70=FALSE,IF(C71&lt;&gt;"",IF(C71&gt;(22/24),C71-(22/24),0),0),0)</f>
        <v>0</v>
      </c>
      <c r="Y71" s="15">
        <f t="shared" ref="Y71" si="297">IF(V70=TRUE,IF(C70&lt;&gt;"",IF(C70&gt;(22/24),(22/24)-(12/24),C70-(12/24)),0),0)</f>
        <v>0</v>
      </c>
      <c r="Z71" s="15">
        <f t="shared" ref="Z71" si="298">IF(V70=TRUE,IF(C70&lt;&gt;"",IF(C70&gt;(22/24),C70-(22/24),0),0),0)</f>
        <v>0</v>
      </c>
      <c r="AA71" s="21"/>
      <c r="AB71" s="21"/>
      <c r="AC71" s="21"/>
      <c r="AD71" s="21"/>
      <c r="AF71" s="16">
        <v>0.625</v>
      </c>
    </row>
    <row r="72" spans="1:32" x14ac:dyDescent="0.45">
      <c r="AF72" s="16">
        <v>0.63541666666666696</v>
      </c>
    </row>
    <row r="73" spans="1:32" x14ac:dyDescent="0.45">
      <c r="AF73" s="16">
        <v>0.64583333333333304</v>
      </c>
    </row>
    <row r="74" spans="1:32" x14ac:dyDescent="0.45">
      <c r="AF74" s="16">
        <v>0.65625</v>
      </c>
    </row>
    <row r="75" spans="1:32" x14ac:dyDescent="0.45">
      <c r="AF75" s="16">
        <v>0.66666666666666696</v>
      </c>
    </row>
    <row r="76" spans="1:32" x14ac:dyDescent="0.45">
      <c r="AF76" s="16">
        <v>0.67708333333333304</v>
      </c>
    </row>
    <row r="77" spans="1:32" x14ac:dyDescent="0.45">
      <c r="AF77" s="16">
        <v>0.6875</v>
      </c>
    </row>
    <row r="78" spans="1:32" x14ac:dyDescent="0.45">
      <c r="AF78" s="16">
        <v>0.69791666666666696</v>
      </c>
    </row>
    <row r="79" spans="1:32" x14ac:dyDescent="0.45">
      <c r="AF79" s="16">
        <v>0.70833333333333304</v>
      </c>
    </row>
    <row r="80" spans="1:32" x14ac:dyDescent="0.45">
      <c r="AF80" s="16">
        <v>0.71875</v>
      </c>
    </row>
    <row r="81" spans="32:32" x14ac:dyDescent="0.45">
      <c r="AF81" s="16">
        <v>0.72916666666666696</v>
      </c>
    </row>
    <row r="82" spans="32:32" x14ac:dyDescent="0.45">
      <c r="AF82" s="16">
        <v>0.73958333333333304</v>
      </c>
    </row>
    <row r="83" spans="32:32" x14ac:dyDescent="0.45">
      <c r="AF83" s="16">
        <v>0.75</v>
      </c>
    </row>
    <row r="84" spans="32:32" x14ac:dyDescent="0.45">
      <c r="AF84" s="16">
        <v>0.76041666666666696</v>
      </c>
    </row>
    <row r="85" spans="32:32" x14ac:dyDescent="0.45">
      <c r="AF85" s="16">
        <v>0.77083333333333304</v>
      </c>
    </row>
    <row r="86" spans="32:32" x14ac:dyDescent="0.45">
      <c r="AF86" s="16">
        <v>0.78125</v>
      </c>
    </row>
    <row r="87" spans="32:32" x14ac:dyDescent="0.45">
      <c r="AF87" s="16">
        <v>0.79166666666666696</v>
      </c>
    </row>
    <row r="88" spans="32:32" x14ac:dyDescent="0.45">
      <c r="AF88" s="16">
        <v>0.80208333333333304</v>
      </c>
    </row>
    <row r="89" spans="32:32" x14ac:dyDescent="0.45">
      <c r="AF89" s="16">
        <v>0.8125</v>
      </c>
    </row>
    <row r="90" spans="32:32" x14ac:dyDescent="0.45">
      <c r="AF90" s="16">
        <v>0.82291666666666696</v>
      </c>
    </row>
    <row r="91" spans="32:32" x14ac:dyDescent="0.45">
      <c r="AF91" s="16">
        <v>0.83333333333333304</v>
      </c>
    </row>
    <row r="92" spans="32:32" x14ac:dyDescent="0.45">
      <c r="AF92" s="16">
        <v>0.84375</v>
      </c>
    </row>
    <row r="93" spans="32:32" x14ac:dyDescent="0.45">
      <c r="AF93" s="16">
        <v>0.85416666666666696</v>
      </c>
    </row>
    <row r="94" spans="32:32" x14ac:dyDescent="0.45">
      <c r="AF94" s="16">
        <v>0.86458333333333304</v>
      </c>
    </row>
    <row r="95" spans="32:32" x14ac:dyDescent="0.45">
      <c r="AF95" s="16">
        <v>0.875</v>
      </c>
    </row>
    <row r="96" spans="32:32" x14ac:dyDescent="0.45">
      <c r="AF96" s="16">
        <v>0.88541666666666696</v>
      </c>
    </row>
    <row r="97" spans="32:32" x14ac:dyDescent="0.45">
      <c r="AF97" s="16">
        <v>0.89583333333333304</v>
      </c>
    </row>
    <row r="98" spans="32:32" x14ac:dyDescent="0.45">
      <c r="AF98" s="16">
        <v>0.90625</v>
      </c>
    </row>
    <row r="99" spans="32:32" x14ac:dyDescent="0.45">
      <c r="AF99" s="16">
        <v>0.91666666666666696</v>
      </c>
    </row>
    <row r="100" spans="32:32" x14ac:dyDescent="0.45">
      <c r="AF100" s="16">
        <v>0.92708333333333304</v>
      </c>
    </row>
    <row r="101" spans="32:32" x14ac:dyDescent="0.45">
      <c r="AF101" s="16">
        <v>0.9375</v>
      </c>
    </row>
    <row r="102" spans="32:32" x14ac:dyDescent="0.45">
      <c r="AF102" s="16">
        <v>0.94791666666666696</v>
      </c>
    </row>
    <row r="103" spans="32:32" x14ac:dyDescent="0.45">
      <c r="AF103" s="16">
        <v>0.95833333333333304</v>
      </c>
    </row>
    <row r="104" spans="32:32" x14ac:dyDescent="0.45">
      <c r="AF104" s="16">
        <v>0.96875</v>
      </c>
    </row>
    <row r="105" spans="32:32" x14ac:dyDescent="0.45">
      <c r="AF105" s="16">
        <v>0.97916666666666696</v>
      </c>
    </row>
    <row r="106" spans="32:32" x14ac:dyDescent="0.45">
      <c r="AF106" s="16">
        <v>0.98958333333333304</v>
      </c>
    </row>
    <row r="107" spans="32:32" x14ac:dyDescent="0.45">
      <c r="AF107" s="16">
        <v>1</v>
      </c>
    </row>
    <row r="108" spans="32:32" x14ac:dyDescent="0.45">
      <c r="AF108" s="16">
        <v>1.0104166666666701</v>
      </c>
    </row>
    <row r="109" spans="32:32" x14ac:dyDescent="0.45">
      <c r="AF109" s="16">
        <v>1.0208333333333299</v>
      </c>
    </row>
    <row r="110" spans="32:32" x14ac:dyDescent="0.45">
      <c r="AF110" s="16">
        <v>1.03125</v>
      </c>
    </row>
    <row r="111" spans="32:32" x14ac:dyDescent="0.45">
      <c r="AF111" s="16">
        <v>1.0416666666666701</v>
      </c>
    </row>
    <row r="112" spans="32:32" x14ac:dyDescent="0.45">
      <c r="AF112" s="16">
        <v>1.0520833333333299</v>
      </c>
    </row>
    <row r="113" spans="32:32" x14ac:dyDescent="0.45">
      <c r="AF113" s="16">
        <v>1.0625</v>
      </c>
    </row>
    <row r="114" spans="32:32" x14ac:dyDescent="0.45">
      <c r="AF114" s="16">
        <v>1.0729166666666701</v>
      </c>
    </row>
    <row r="115" spans="32:32" x14ac:dyDescent="0.45">
      <c r="AF115" s="16">
        <v>1.0833333333333299</v>
      </c>
    </row>
    <row r="116" spans="32:32" x14ac:dyDescent="0.45">
      <c r="AF116" s="16">
        <v>1.09375</v>
      </c>
    </row>
    <row r="117" spans="32:32" x14ac:dyDescent="0.45">
      <c r="AF117" s="16">
        <v>1.1041666666666701</v>
      </c>
    </row>
    <row r="118" spans="32:32" x14ac:dyDescent="0.45">
      <c r="AF118" s="16">
        <v>1.1145833333333299</v>
      </c>
    </row>
    <row r="119" spans="32:32" x14ac:dyDescent="0.45">
      <c r="AF119" s="16">
        <v>1.125</v>
      </c>
    </row>
    <row r="120" spans="32:32" x14ac:dyDescent="0.45">
      <c r="AF120" s="16">
        <v>1.1354166666666701</v>
      </c>
    </row>
    <row r="121" spans="32:32" x14ac:dyDescent="0.45">
      <c r="AF121" s="16">
        <v>1.1458333333333299</v>
      </c>
    </row>
    <row r="122" spans="32:32" x14ac:dyDescent="0.45">
      <c r="AF122" s="16">
        <v>1.15625</v>
      </c>
    </row>
    <row r="123" spans="32:32" x14ac:dyDescent="0.45">
      <c r="AF123" s="16">
        <v>1.1666666666666701</v>
      </c>
    </row>
    <row r="124" spans="32:32" x14ac:dyDescent="0.45">
      <c r="AF124" s="16">
        <v>1.1770833333333299</v>
      </c>
    </row>
    <row r="125" spans="32:32" x14ac:dyDescent="0.45">
      <c r="AF125" s="16">
        <v>1.1875</v>
      </c>
    </row>
    <row r="126" spans="32:32" x14ac:dyDescent="0.45">
      <c r="AF126" s="16">
        <v>1.1979166666666701</v>
      </c>
    </row>
    <row r="127" spans="32:32" x14ac:dyDescent="0.45">
      <c r="AF127" s="16">
        <v>1.2083333333333299</v>
      </c>
    </row>
    <row r="128" spans="32:32" x14ac:dyDescent="0.45">
      <c r="AF128" s="16">
        <v>1.21875</v>
      </c>
    </row>
    <row r="129" spans="32:32" x14ac:dyDescent="0.45">
      <c r="AF129" s="16">
        <v>1.2291666666666701</v>
      </c>
    </row>
    <row r="130" spans="32:32" x14ac:dyDescent="0.45">
      <c r="AF130" s="16">
        <v>1.2395833333333299</v>
      </c>
    </row>
    <row r="131" spans="32:32" x14ac:dyDescent="0.45">
      <c r="AF131" s="16">
        <v>1.25</v>
      </c>
    </row>
    <row r="132" spans="32:32" x14ac:dyDescent="0.45">
      <c r="AF132" s="16">
        <v>1.2604166666666701</v>
      </c>
    </row>
    <row r="133" spans="32:32" x14ac:dyDescent="0.45">
      <c r="AF133" s="16">
        <v>1.2708333333333299</v>
      </c>
    </row>
    <row r="134" spans="32:32" x14ac:dyDescent="0.45">
      <c r="AF134" s="16">
        <v>1.28125</v>
      </c>
    </row>
    <row r="135" spans="32:32" x14ac:dyDescent="0.45">
      <c r="AF135" s="16">
        <v>1.2916666666666701</v>
      </c>
    </row>
    <row r="136" spans="32:32" x14ac:dyDescent="0.45">
      <c r="AF136" s="16">
        <v>1.3020833333333299</v>
      </c>
    </row>
    <row r="137" spans="32:32" x14ac:dyDescent="0.45">
      <c r="AF137" s="16">
        <v>1.3125</v>
      </c>
    </row>
    <row r="138" spans="32:32" x14ac:dyDescent="0.45">
      <c r="AF138" s="16">
        <v>1.3229166666666701</v>
      </c>
    </row>
    <row r="139" spans="32:32" x14ac:dyDescent="0.45">
      <c r="AF139" s="16">
        <v>1.3333333333333299</v>
      </c>
    </row>
    <row r="140" spans="32:32" x14ac:dyDescent="0.45">
      <c r="AF140" s="16">
        <v>1.34375</v>
      </c>
    </row>
    <row r="141" spans="32:32" x14ac:dyDescent="0.45">
      <c r="AF141" s="16">
        <v>1.3541666666666701</v>
      </c>
    </row>
    <row r="142" spans="32:32" x14ac:dyDescent="0.45">
      <c r="AF142" s="16">
        <v>1.3645833333333299</v>
      </c>
    </row>
    <row r="143" spans="32:32" x14ac:dyDescent="0.45">
      <c r="AF143" s="16">
        <v>1.375</v>
      </c>
    </row>
    <row r="144" spans="32:32" x14ac:dyDescent="0.45">
      <c r="AF144" s="16">
        <v>1.3854166666666701</v>
      </c>
    </row>
    <row r="145" spans="32:32" x14ac:dyDescent="0.45">
      <c r="AF145" s="16">
        <v>1.3958333333333299</v>
      </c>
    </row>
    <row r="146" spans="32:32" x14ac:dyDescent="0.45">
      <c r="AF146" s="16">
        <v>1.40625</v>
      </c>
    </row>
    <row r="147" spans="32:32" x14ac:dyDescent="0.45">
      <c r="AF147" s="16">
        <v>1.4166666666666701</v>
      </c>
    </row>
    <row r="148" spans="32:32" x14ac:dyDescent="0.45">
      <c r="AF148" s="16">
        <v>1.4270833333333299</v>
      </c>
    </row>
    <row r="149" spans="32:32" x14ac:dyDescent="0.45">
      <c r="AF149" s="16">
        <v>1.4375</v>
      </c>
    </row>
    <row r="150" spans="32:32" x14ac:dyDescent="0.45">
      <c r="AF150" s="16">
        <v>1.4479166666666701</v>
      </c>
    </row>
    <row r="151" spans="32:32" x14ac:dyDescent="0.45">
      <c r="AF151" s="16">
        <v>1.4583333333333299</v>
      </c>
    </row>
    <row r="152" spans="32:32" x14ac:dyDescent="0.45">
      <c r="AF152" s="16">
        <v>1.46875</v>
      </c>
    </row>
    <row r="153" spans="32:32" x14ac:dyDescent="0.45">
      <c r="AF153" s="16">
        <v>1.4791666666666701</v>
      </c>
    </row>
    <row r="154" spans="32:32" x14ac:dyDescent="0.45">
      <c r="AF154" s="16">
        <v>1.4895833333333299</v>
      </c>
    </row>
    <row r="155" spans="32:32" x14ac:dyDescent="0.45">
      <c r="AF155" s="16">
        <v>1.5</v>
      </c>
    </row>
    <row r="156" spans="32:32" x14ac:dyDescent="0.45">
      <c r="AF156" s="16">
        <v>1.5104166666666701</v>
      </c>
    </row>
    <row r="157" spans="32:32" x14ac:dyDescent="0.45">
      <c r="AF157" s="16">
        <v>1.5208333333333299</v>
      </c>
    </row>
    <row r="158" spans="32:32" x14ac:dyDescent="0.45">
      <c r="AF158" s="16">
        <v>1.53125</v>
      </c>
    </row>
    <row r="159" spans="32:32" x14ac:dyDescent="0.45">
      <c r="AF159" s="16">
        <v>1.5416666666666701</v>
      </c>
    </row>
    <row r="160" spans="32:32" x14ac:dyDescent="0.45">
      <c r="AF160" s="16">
        <v>1.5520833333333299</v>
      </c>
    </row>
    <row r="161" spans="32:32" x14ac:dyDescent="0.45">
      <c r="AF161" s="16">
        <v>1.5625</v>
      </c>
    </row>
    <row r="162" spans="32:32" x14ac:dyDescent="0.45">
      <c r="AF162" s="16">
        <v>1.5729166666666701</v>
      </c>
    </row>
    <row r="163" spans="32:32" x14ac:dyDescent="0.45">
      <c r="AF163" s="16">
        <v>1.5833333333333299</v>
      </c>
    </row>
    <row r="164" spans="32:32" x14ac:dyDescent="0.45">
      <c r="AF164" s="16">
        <v>1.59375</v>
      </c>
    </row>
    <row r="165" spans="32:32" x14ac:dyDescent="0.45">
      <c r="AF165" s="16">
        <v>1.6041666666666701</v>
      </c>
    </row>
    <row r="166" spans="32:32" x14ac:dyDescent="0.45">
      <c r="AF166" s="16">
        <v>1.6145833333333299</v>
      </c>
    </row>
    <row r="167" spans="32:32" x14ac:dyDescent="0.45">
      <c r="AF167" s="16">
        <v>1.625</v>
      </c>
    </row>
    <row r="168" spans="32:32" x14ac:dyDescent="0.45">
      <c r="AF168" s="16">
        <v>1.6354166666666701</v>
      </c>
    </row>
    <row r="169" spans="32:32" x14ac:dyDescent="0.45">
      <c r="AF169" s="16">
        <v>1.6458333333333299</v>
      </c>
    </row>
    <row r="170" spans="32:32" x14ac:dyDescent="0.45">
      <c r="AF170" s="16">
        <v>1.65625</v>
      </c>
    </row>
    <row r="171" spans="32:32" x14ac:dyDescent="0.45">
      <c r="AF171" s="16">
        <v>1.6666666666666701</v>
      </c>
    </row>
    <row r="172" spans="32:32" x14ac:dyDescent="0.45">
      <c r="AF172" s="16">
        <v>1.6770833333333299</v>
      </c>
    </row>
    <row r="173" spans="32:32" x14ac:dyDescent="0.45">
      <c r="AF173" s="16">
        <v>1.6875</v>
      </c>
    </row>
    <row r="174" spans="32:32" x14ac:dyDescent="0.45">
      <c r="AF174" s="16">
        <v>1.6979166666666701</v>
      </c>
    </row>
    <row r="175" spans="32:32" x14ac:dyDescent="0.45">
      <c r="AF175" s="16">
        <v>1.7083333333333299</v>
      </c>
    </row>
    <row r="176" spans="32:32" x14ac:dyDescent="0.45">
      <c r="AF176" s="16">
        <v>1.71875</v>
      </c>
    </row>
    <row r="177" spans="32:32" x14ac:dyDescent="0.45">
      <c r="AF177" s="16">
        <v>1.7291666666666701</v>
      </c>
    </row>
    <row r="178" spans="32:32" x14ac:dyDescent="0.45">
      <c r="AF178" s="16">
        <v>1.7395833333333299</v>
      </c>
    </row>
    <row r="179" spans="32:32" x14ac:dyDescent="0.45">
      <c r="AF179" s="16">
        <v>1.75</v>
      </c>
    </row>
    <row r="180" spans="32:32" x14ac:dyDescent="0.45">
      <c r="AF180" s="16">
        <v>1.7604166666666701</v>
      </c>
    </row>
    <row r="181" spans="32:32" x14ac:dyDescent="0.45">
      <c r="AF181" s="16">
        <v>1.7708333333333299</v>
      </c>
    </row>
    <row r="182" spans="32:32" x14ac:dyDescent="0.45">
      <c r="AF182" s="16">
        <v>1.78125</v>
      </c>
    </row>
    <row r="183" spans="32:32" x14ac:dyDescent="0.45">
      <c r="AF183" s="16">
        <v>1.7916666666666701</v>
      </c>
    </row>
    <row r="184" spans="32:32" x14ac:dyDescent="0.45">
      <c r="AF184" s="16">
        <v>1.8020833333333299</v>
      </c>
    </row>
    <row r="185" spans="32:32" x14ac:dyDescent="0.45">
      <c r="AF185" s="16">
        <v>1.8125</v>
      </c>
    </row>
    <row r="186" spans="32:32" x14ac:dyDescent="0.45">
      <c r="AF186" s="16">
        <v>1.8229166666666701</v>
      </c>
    </row>
    <row r="187" spans="32:32" x14ac:dyDescent="0.45">
      <c r="AF187" s="16">
        <v>1.8333333333333299</v>
      </c>
    </row>
    <row r="188" spans="32:32" x14ac:dyDescent="0.45">
      <c r="AF188" s="16">
        <v>1.84375</v>
      </c>
    </row>
    <row r="189" spans="32:32" x14ac:dyDescent="0.45">
      <c r="AF189" s="16">
        <v>1.8541666666666701</v>
      </c>
    </row>
    <row r="190" spans="32:32" x14ac:dyDescent="0.45">
      <c r="AF190" s="16">
        <v>1.8645833333333299</v>
      </c>
    </row>
    <row r="191" spans="32:32" x14ac:dyDescent="0.45">
      <c r="AF191" s="16">
        <v>1.875</v>
      </c>
    </row>
    <row r="192" spans="32:32" x14ac:dyDescent="0.45">
      <c r="AF192" s="16">
        <v>1.8854166666666701</v>
      </c>
    </row>
    <row r="193" spans="32:32" x14ac:dyDescent="0.45">
      <c r="AF193" s="16">
        <v>1.8958333333333299</v>
      </c>
    </row>
    <row r="194" spans="32:32" x14ac:dyDescent="0.45">
      <c r="AF194" s="16">
        <v>1.90625</v>
      </c>
    </row>
    <row r="195" spans="32:32" x14ac:dyDescent="0.45">
      <c r="AF195" s="16">
        <v>1.9166666666666701</v>
      </c>
    </row>
    <row r="196" spans="32:32" x14ac:dyDescent="0.45">
      <c r="AF196" s="16">
        <v>1.9270833333333299</v>
      </c>
    </row>
    <row r="197" spans="32:32" x14ac:dyDescent="0.45">
      <c r="AF197" s="16">
        <v>1.9375</v>
      </c>
    </row>
    <row r="198" spans="32:32" x14ac:dyDescent="0.45">
      <c r="AF198" s="16">
        <v>1.9479166666666701</v>
      </c>
    </row>
    <row r="199" spans="32:32" x14ac:dyDescent="0.45">
      <c r="AF199" s="16">
        <v>1.9583333333333299</v>
      </c>
    </row>
    <row r="200" spans="32:32" x14ac:dyDescent="0.45">
      <c r="AF200" s="16">
        <v>1.96875</v>
      </c>
    </row>
    <row r="201" spans="32:32" x14ac:dyDescent="0.45">
      <c r="AF201" s="16">
        <v>1.9791666666666701</v>
      </c>
    </row>
    <row r="202" spans="32:32" x14ac:dyDescent="0.45">
      <c r="AF202" s="16">
        <v>1.9895833333333299</v>
      </c>
    </row>
  </sheetData>
  <mergeCells count="485">
    <mergeCell ref="Q2:S2"/>
    <mergeCell ref="Q3:S3"/>
    <mergeCell ref="Q4:S4"/>
    <mergeCell ref="Q5:S5"/>
    <mergeCell ref="Q6:S6"/>
    <mergeCell ref="Q7:S7"/>
    <mergeCell ref="D62:D63"/>
    <mergeCell ref="D64:D65"/>
    <mergeCell ref="D66:D67"/>
    <mergeCell ref="D26:D27"/>
    <mergeCell ref="D28:D29"/>
    <mergeCell ref="D30:D31"/>
    <mergeCell ref="D32:D33"/>
    <mergeCell ref="D34:D35"/>
    <mergeCell ref="D36:D37"/>
    <mergeCell ref="D38:D39"/>
    <mergeCell ref="D40:D41"/>
    <mergeCell ref="D42:D43"/>
    <mergeCell ref="D7:D9"/>
    <mergeCell ref="D10:D11"/>
    <mergeCell ref="D12:D13"/>
    <mergeCell ref="D14:D15"/>
    <mergeCell ref="D16:D17"/>
    <mergeCell ref="D18:D19"/>
    <mergeCell ref="D68:D69"/>
    <mergeCell ref="D70:D71"/>
    <mergeCell ref="D44:D45"/>
    <mergeCell ref="D46:D47"/>
    <mergeCell ref="D48:D49"/>
    <mergeCell ref="D50:D51"/>
    <mergeCell ref="D52:D53"/>
    <mergeCell ref="D54:D55"/>
    <mergeCell ref="D56:D57"/>
    <mergeCell ref="D58:D59"/>
    <mergeCell ref="D60:D61"/>
    <mergeCell ref="D20:D21"/>
    <mergeCell ref="D22:D23"/>
    <mergeCell ref="D24:D25"/>
    <mergeCell ref="E60:E61"/>
    <mergeCell ref="E62:E63"/>
    <mergeCell ref="E64:E65"/>
    <mergeCell ref="E36:E37"/>
    <mergeCell ref="E38:E39"/>
    <mergeCell ref="E40:E41"/>
    <mergeCell ref="E42:E43"/>
    <mergeCell ref="E44:E45"/>
    <mergeCell ref="E46:E47"/>
    <mergeCell ref="E24:E25"/>
    <mergeCell ref="E26:E27"/>
    <mergeCell ref="E28:E29"/>
    <mergeCell ref="E30:E31"/>
    <mergeCell ref="E32:E33"/>
    <mergeCell ref="E34:E35"/>
    <mergeCell ref="E12:E13"/>
    <mergeCell ref="E14:E15"/>
    <mergeCell ref="E16:E17"/>
    <mergeCell ref="E66:E67"/>
    <mergeCell ref="E68:E69"/>
    <mergeCell ref="E70:E71"/>
    <mergeCell ref="E48:E49"/>
    <mergeCell ref="E50:E51"/>
    <mergeCell ref="E52:E53"/>
    <mergeCell ref="E54:E55"/>
    <mergeCell ref="E56:E57"/>
    <mergeCell ref="E58:E59"/>
    <mergeCell ref="E18:E19"/>
    <mergeCell ref="E20:E21"/>
    <mergeCell ref="E22:E23"/>
    <mergeCell ref="S56:S57"/>
    <mergeCell ref="S58:S59"/>
    <mergeCell ref="S60:S61"/>
    <mergeCell ref="S62:S63"/>
    <mergeCell ref="S64:S65"/>
    <mergeCell ref="S66:S67"/>
    <mergeCell ref="S44:S45"/>
    <mergeCell ref="S46:S47"/>
    <mergeCell ref="S48:S49"/>
    <mergeCell ref="S50:S51"/>
    <mergeCell ref="S52:S53"/>
    <mergeCell ref="S54:S55"/>
    <mergeCell ref="S32:S33"/>
    <mergeCell ref="S34:S35"/>
    <mergeCell ref="S36:S37"/>
    <mergeCell ref="S38:S39"/>
    <mergeCell ref="S40:S41"/>
    <mergeCell ref="S42:S43"/>
    <mergeCell ref="S20:S21"/>
    <mergeCell ref="S22:S23"/>
    <mergeCell ref="S24:S25"/>
    <mergeCell ref="S28:S29"/>
    <mergeCell ref="S30:S31"/>
    <mergeCell ref="F7:M7"/>
    <mergeCell ref="S10:S11"/>
    <mergeCell ref="S12:S13"/>
    <mergeCell ref="S14:S15"/>
    <mergeCell ref="S16:S17"/>
    <mergeCell ref="S18:S19"/>
    <mergeCell ref="P9:R9"/>
    <mergeCell ref="L28:L29"/>
    <mergeCell ref="M28:M29"/>
    <mergeCell ref="L24:L25"/>
    <mergeCell ref="M24:M25"/>
    <mergeCell ref="F26:F27"/>
    <mergeCell ref="G26:G27"/>
    <mergeCell ref="H26:H27"/>
    <mergeCell ref="I26:I27"/>
    <mergeCell ref="J26:J27"/>
    <mergeCell ref="K26:K27"/>
    <mergeCell ref="L26:L27"/>
    <mergeCell ref="M26:M27"/>
    <mergeCell ref="F24:F25"/>
    <mergeCell ref="G24:G25"/>
    <mergeCell ref="H24:H25"/>
    <mergeCell ref="I24:I25"/>
    <mergeCell ref="J24:J25"/>
    <mergeCell ref="F30:F31"/>
    <mergeCell ref="G30:G31"/>
    <mergeCell ref="H30:H31"/>
    <mergeCell ref="I30:I31"/>
    <mergeCell ref="J30:J31"/>
    <mergeCell ref="K30:K31"/>
    <mergeCell ref="L30:L31"/>
    <mergeCell ref="M30:M31"/>
    <mergeCell ref="F28:F29"/>
    <mergeCell ref="G28:G29"/>
    <mergeCell ref="H28:H29"/>
    <mergeCell ref="I28:I29"/>
    <mergeCell ref="J28:J29"/>
    <mergeCell ref="K28:K29"/>
    <mergeCell ref="M64:M65"/>
    <mergeCell ref="M66:M67"/>
    <mergeCell ref="M68:M69"/>
    <mergeCell ref="M70:M71"/>
    <mergeCell ref="S68:S69"/>
    <mergeCell ref="S70:S71"/>
    <mergeCell ref="B7:C9"/>
    <mergeCell ref="A7:A9"/>
    <mergeCell ref="H8:I8"/>
    <mergeCell ref="F8:G8"/>
    <mergeCell ref="J8:K8"/>
    <mergeCell ref="L8:M8"/>
    <mergeCell ref="L68:L69"/>
    <mergeCell ref="F70:F71"/>
    <mergeCell ref="G70:G71"/>
    <mergeCell ref="H70:H71"/>
    <mergeCell ref="I70:I71"/>
    <mergeCell ref="J70:J71"/>
    <mergeCell ref="K70:K71"/>
    <mergeCell ref="L70:L71"/>
    <mergeCell ref="F68:F69"/>
    <mergeCell ref="G68:G69"/>
    <mergeCell ref="H68:H69"/>
    <mergeCell ref="S26:S27"/>
    <mergeCell ref="I68:I69"/>
    <mergeCell ref="J68:J69"/>
    <mergeCell ref="K68:K69"/>
    <mergeCell ref="L64:L65"/>
    <mergeCell ref="F66:F67"/>
    <mergeCell ref="G66:G67"/>
    <mergeCell ref="H66:H67"/>
    <mergeCell ref="I66:I67"/>
    <mergeCell ref="J66:J67"/>
    <mergeCell ref="K66:K67"/>
    <mergeCell ref="L66:L67"/>
    <mergeCell ref="F64:F65"/>
    <mergeCell ref="G64:G65"/>
    <mergeCell ref="H64:H65"/>
    <mergeCell ref="I64:I65"/>
    <mergeCell ref="J64:J65"/>
    <mergeCell ref="K64:K65"/>
    <mergeCell ref="L60:L61"/>
    <mergeCell ref="M60:M61"/>
    <mergeCell ref="F62:F63"/>
    <mergeCell ref="G62:G63"/>
    <mergeCell ref="H62:H63"/>
    <mergeCell ref="I62:I63"/>
    <mergeCell ref="J62:J63"/>
    <mergeCell ref="K62:K63"/>
    <mergeCell ref="L62:L63"/>
    <mergeCell ref="F60:F61"/>
    <mergeCell ref="G60:G61"/>
    <mergeCell ref="H60:H61"/>
    <mergeCell ref="I60:I61"/>
    <mergeCell ref="J60:J61"/>
    <mergeCell ref="K60:K61"/>
    <mergeCell ref="M62:M63"/>
    <mergeCell ref="L56:L57"/>
    <mergeCell ref="M56:M57"/>
    <mergeCell ref="F58:F59"/>
    <mergeCell ref="G58:G59"/>
    <mergeCell ref="H58:H59"/>
    <mergeCell ref="I58:I59"/>
    <mergeCell ref="J58:J59"/>
    <mergeCell ref="K58:K59"/>
    <mergeCell ref="L58:L59"/>
    <mergeCell ref="M58:M59"/>
    <mergeCell ref="F56:F57"/>
    <mergeCell ref="G56:G57"/>
    <mergeCell ref="H56:H57"/>
    <mergeCell ref="I56:I57"/>
    <mergeCell ref="J56:J57"/>
    <mergeCell ref="K56:K57"/>
    <mergeCell ref="L52:L53"/>
    <mergeCell ref="M52:M53"/>
    <mergeCell ref="F54:F55"/>
    <mergeCell ref="G54:G55"/>
    <mergeCell ref="H54:H55"/>
    <mergeCell ref="I54:I55"/>
    <mergeCell ref="J54:J55"/>
    <mergeCell ref="K54:K55"/>
    <mergeCell ref="L54:L55"/>
    <mergeCell ref="M54:M55"/>
    <mergeCell ref="F52:F53"/>
    <mergeCell ref="G52:G53"/>
    <mergeCell ref="H52:H53"/>
    <mergeCell ref="I52:I53"/>
    <mergeCell ref="J52:J53"/>
    <mergeCell ref="K52:K53"/>
    <mergeCell ref="L48:L49"/>
    <mergeCell ref="M48:M49"/>
    <mergeCell ref="F50:F51"/>
    <mergeCell ref="G50:G51"/>
    <mergeCell ref="H50:H51"/>
    <mergeCell ref="I50:I51"/>
    <mergeCell ref="J50:J51"/>
    <mergeCell ref="K50:K51"/>
    <mergeCell ref="L50:L51"/>
    <mergeCell ref="M50:M51"/>
    <mergeCell ref="F48:F49"/>
    <mergeCell ref="G48:G49"/>
    <mergeCell ref="H48:H49"/>
    <mergeCell ref="I48:I49"/>
    <mergeCell ref="J48:J49"/>
    <mergeCell ref="K48:K49"/>
    <mergeCell ref="L44:L45"/>
    <mergeCell ref="M44:M45"/>
    <mergeCell ref="F46:F47"/>
    <mergeCell ref="G46:G47"/>
    <mergeCell ref="H46:H47"/>
    <mergeCell ref="I46:I47"/>
    <mergeCell ref="J46:J47"/>
    <mergeCell ref="K46:K47"/>
    <mergeCell ref="L46:L47"/>
    <mergeCell ref="M46:M47"/>
    <mergeCell ref="F44:F45"/>
    <mergeCell ref="G44:G45"/>
    <mergeCell ref="H44:H45"/>
    <mergeCell ref="I44:I45"/>
    <mergeCell ref="J44:J45"/>
    <mergeCell ref="K44:K45"/>
    <mergeCell ref="L40:L41"/>
    <mergeCell ref="M40:M41"/>
    <mergeCell ref="F42:F43"/>
    <mergeCell ref="G42:G43"/>
    <mergeCell ref="H42:H43"/>
    <mergeCell ref="I42:I43"/>
    <mergeCell ref="J42:J43"/>
    <mergeCell ref="K42:K43"/>
    <mergeCell ref="L42:L43"/>
    <mergeCell ref="M42:M43"/>
    <mergeCell ref="F40:F41"/>
    <mergeCell ref="G40:G41"/>
    <mergeCell ref="H40:H41"/>
    <mergeCell ref="I40:I41"/>
    <mergeCell ref="J40:J41"/>
    <mergeCell ref="K40:K41"/>
    <mergeCell ref="L36:L37"/>
    <mergeCell ref="M36:M37"/>
    <mergeCell ref="F38:F39"/>
    <mergeCell ref="G38:G39"/>
    <mergeCell ref="H38:H39"/>
    <mergeCell ref="I38:I39"/>
    <mergeCell ref="J38:J39"/>
    <mergeCell ref="K38:K39"/>
    <mergeCell ref="L38:L39"/>
    <mergeCell ref="M38:M39"/>
    <mergeCell ref="F36:F37"/>
    <mergeCell ref="G36:G37"/>
    <mergeCell ref="H36:H37"/>
    <mergeCell ref="I36:I37"/>
    <mergeCell ref="J36:J37"/>
    <mergeCell ref="K36:K37"/>
    <mergeCell ref="L32:L33"/>
    <mergeCell ref="M32:M33"/>
    <mergeCell ref="F34:F35"/>
    <mergeCell ref="G34:G35"/>
    <mergeCell ref="H34:H35"/>
    <mergeCell ref="I34:I35"/>
    <mergeCell ref="J34:J35"/>
    <mergeCell ref="K34:K35"/>
    <mergeCell ref="L34:L35"/>
    <mergeCell ref="M34:M35"/>
    <mergeCell ref="F32:F33"/>
    <mergeCell ref="G32:G33"/>
    <mergeCell ref="H32:H33"/>
    <mergeCell ref="I32:I33"/>
    <mergeCell ref="J32:J33"/>
    <mergeCell ref="K32:K33"/>
    <mergeCell ref="K24:K25"/>
    <mergeCell ref="L20:L21"/>
    <mergeCell ref="M20:M21"/>
    <mergeCell ref="F22:F23"/>
    <mergeCell ref="G22:G23"/>
    <mergeCell ref="H22:H23"/>
    <mergeCell ref="I22:I23"/>
    <mergeCell ref="J22:J23"/>
    <mergeCell ref="K22:K23"/>
    <mergeCell ref="L22:L23"/>
    <mergeCell ref="M22:M23"/>
    <mergeCell ref="F20:F21"/>
    <mergeCell ref="G20:G21"/>
    <mergeCell ref="H20:H21"/>
    <mergeCell ref="I20:I21"/>
    <mergeCell ref="J20:J21"/>
    <mergeCell ref="K20:K21"/>
    <mergeCell ref="L16:L17"/>
    <mergeCell ref="M16:M17"/>
    <mergeCell ref="F18:F19"/>
    <mergeCell ref="G18:G19"/>
    <mergeCell ref="H18:H19"/>
    <mergeCell ref="I18:I19"/>
    <mergeCell ref="J18:J19"/>
    <mergeCell ref="K18:K19"/>
    <mergeCell ref="L18:L19"/>
    <mergeCell ref="M18:M19"/>
    <mergeCell ref="F16:F17"/>
    <mergeCell ref="G16:G17"/>
    <mergeCell ref="H16:H17"/>
    <mergeCell ref="I16:I17"/>
    <mergeCell ref="J16:J17"/>
    <mergeCell ref="K16:K17"/>
    <mergeCell ref="M12:M13"/>
    <mergeCell ref="F14:F15"/>
    <mergeCell ref="G14:G15"/>
    <mergeCell ref="H14:H15"/>
    <mergeCell ref="I14:I15"/>
    <mergeCell ref="J14:J15"/>
    <mergeCell ref="K14:K15"/>
    <mergeCell ref="L14:L15"/>
    <mergeCell ref="M14:M15"/>
    <mergeCell ref="I12:I13"/>
    <mergeCell ref="J12:J13"/>
    <mergeCell ref="K12:K13"/>
    <mergeCell ref="L12:L13"/>
    <mergeCell ref="F10:F11"/>
    <mergeCell ref="G10:G11"/>
    <mergeCell ref="H10:H11"/>
    <mergeCell ref="I10:I11"/>
    <mergeCell ref="J10:J11"/>
    <mergeCell ref="AB70:AB71"/>
    <mergeCell ref="AC70:AC71"/>
    <mergeCell ref="AD70:AD71"/>
    <mergeCell ref="W8:Z8"/>
    <mergeCell ref="AA8:AD8"/>
    <mergeCell ref="AA68:AA69"/>
    <mergeCell ref="AB68:AB69"/>
    <mergeCell ref="AC68:AC69"/>
    <mergeCell ref="AD68:AD69"/>
    <mergeCell ref="AA70:AA71"/>
    <mergeCell ref="AA64:AA65"/>
    <mergeCell ref="AB64:AB65"/>
    <mergeCell ref="AC64:AC65"/>
    <mergeCell ref="AD64:AD65"/>
    <mergeCell ref="AA66:AA67"/>
    <mergeCell ref="AB66:AB67"/>
    <mergeCell ref="AC66:AC67"/>
    <mergeCell ref="AD66:AD67"/>
    <mergeCell ref="AA60:AA61"/>
    <mergeCell ref="AB60:AB61"/>
    <mergeCell ref="AC60:AC61"/>
    <mergeCell ref="AD60:AD61"/>
    <mergeCell ref="AA62:AA63"/>
    <mergeCell ref="AB62:AB63"/>
    <mergeCell ref="AC62:AC63"/>
    <mergeCell ref="AD62:AD63"/>
    <mergeCell ref="AA56:AA57"/>
    <mergeCell ref="AB56:AB57"/>
    <mergeCell ref="AC56:AC57"/>
    <mergeCell ref="AD56:AD57"/>
    <mergeCell ref="AA58:AA59"/>
    <mergeCell ref="AB58:AB59"/>
    <mergeCell ref="AC58:AC59"/>
    <mergeCell ref="AD58:AD59"/>
    <mergeCell ref="AA52:AA53"/>
    <mergeCell ref="AB52:AB53"/>
    <mergeCell ref="AC52:AC53"/>
    <mergeCell ref="AD52:AD53"/>
    <mergeCell ref="AA54:AA55"/>
    <mergeCell ref="AB54:AB55"/>
    <mergeCell ref="AC54:AC55"/>
    <mergeCell ref="AD54:AD55"/>
    <mergeCell ref="AA48:AA49"/>
    <mergeCell ref="AB48:AB49"/>
    <mergeCell ref="AC48:AC49"/>
    <mergeCell ref="AD48:AD49"/>
    <mergeCell ref="AA50:AA51"/>
    <mergeCell ref="AB50:AB51"/>
    <mergeCell ref="AC50:AC51"/>
    <mergeCell ref="AD50:AD51"/>
    <mergeCell ref="AA44:AA45"/>
    <mergeCell ref="AB44:AB45"/>
    <mergeCell ref="AC44:AC45"/>
    <mergeCell ref="AD44:AD45"/>
    <mergeCell ref="AA46:AA47"/>
    <mergeCell ref="AB46:AB47"/>
    <mergeCell ref="AC46:AC47"/>
    <mergeCell ref="AD46:AD47"/>
    <mergeCell ref="AA40:AA41"/>
    <mergeCell ref="AB40:AB41"/>
    <mergeCell ref="AC40:AC41"/>
    <mergeCell ref="AD40:AD41"/>
    <mergeCell ref="AA42:AA43"/>
    <mergeCell ref="AB42:AB43"/>
    <mergeCell ref="AC42:AC43"/>
    <mergeCell ref="AD42:AD43"/>
    <mergeCell ref="AA36:AA37"/>
    <mergeCell ref="AB36:AB37"/>
    <mergeCell ref="AC36:AC37"/>
    <mergeCell ref="AD36:AD37"/>
    <mergeCell ref="AA38:AA39"/>
    <mergeCell ref="AB38:AB39"/>
    <mergeCell ref="AC38:AC39"/>
    <mergeCell ref="AD38:AD39"/>
    <mergeCell ref="AA32:AA33"/>
    <mergeCell ref="AB32:AB33"/>
    <mergeCell ref="AC32:AC33"/>
    <mergeCell ref="AD32:AD33"/>
    <mergeCell ref="AA34:AA35"/>
    <mergeCell ref="AB34:AB35"/>
    <mergeCell ref="AC34:AC35"/>
    <mergeCell ref="AD34:AD35"/>
    <mergeCell ref="AA28:AA29"/>
    <mergeCell ref="AB28:AB29"/>
    <mergeCell ref="AC28:AC29"/>
    <mergeCell ref="AD28:AD29"/>
    <mergeCell ref="AA30:AA31"/>
    <mergeCell ref="AB30:AB31"/>
    <mergeCell ref="AC30:AC31"/>
    <mergeCell ref="AD30:AD31"/>
    <mergeCell ref="AA24:AA25"/>
    <mergeCell ref="AB24:AB25"/>
    <mergeCell ref="AC24:AC25"/>
    <mergeCell ref="AD24:AD25"/>
    <mergeCell ref="AA26:AA27"/>
    <mergeCell ref="AB26:AB27"/>
    <mergeCell ref="AC26:AC27"/>
    <mergeCell ref="AD26:AD27"/>
    <mergeCell ref="AA20:AA21"/>
    <mergeCell ref="AB20:AB21"/>
    <mergeCell ref="AC20:AC21"/>
    <mergeCell ref="AD20:AD21"/>
    <mergeCell ref="AA22:AA23"/>
    <mergeCell ref="AB22:AB23"/>
    <mergeCell ref="AC22:AC23"/>
    <mergeCell ref="AD22:AD23"/>
    <mergeCell ref="AC16:AC17"/>
    <mergeCell ref="AD16:AD17"/>
    <mergeCell ref="AA18:AA19"/>
    <mergeCell ref="AB18:AB19"/>
    <mergeCell ref="AC18:AC19"/>
    <mergeCell ref="AD18:AD19"/>
    <mergeCell ref="A2:M2"/>
    <mergeCell ref="F4:M4"/>
    <mergeCell ref="AA14:AA15"/>
    <mergeCell ref="AB14:AB15"/>
    <mergeCell ref="AC14:AC15"/>
    <mergeCell ref="AD14:AD15"/>
    <mergeCell ref="AA16:AA17"/>
    <mergeCell ref="AB16:AB17"/>
    <mergeCell ref="AA10:AA11"/>
    <mergeCell ref="AB10:AB11"/>
    <mergeCell ref="AC10:AC11"/>
    <mergeCell ref="AD10:AD11"/>
    <mergeCell ref="AA12:AA13"/>
    <mergeCell ref="AB12:AB13"/>
    <mergeCell ref="AC12:AC13"/>
    <mergeCell ref="AD12:AD13"/>
    <mergeCell ref="E7:E9"/>
    <mergeCell ref="E10:E11"/>
    <mergeCell ref="K10:K11"/>
    <mergeCell ref="L10:L11"/>
    <mergeCell ref="M10:M11"/>
    <mergeCell ref="F12:F13"/>
    <mergeCell ref="G12:G13"/>
    <mergeCell ref="H12:H13"/>
  </mergeCells>
  <phoneticPr fontId="1"/>
  <dataValidations count="2">
    <dataValidation type="list" allowBlank="1" showInputMessage="1" showErrorMessage="1" sqref="Q5" xr:uid="{EF8D4304-FD46-4BF8-A6DF-F222BB842877}">
      <formula1>$AG$11:$AG$26</formula1>
    </dataValidation>
    <dataValidation type="time" showInputMessage="1" showErrorMessage="1" sqref="R10:R71" xr:uid="{591C3D50-A3F4-4C9E-82D6-B002BD841094}">
      <formula1>0</formula1>
      <formula2>0.999305555555556</formula2>
    </dataValidation>
  </dataValidations>
  <pageMargins left="0.7" right="0.7" top="0.75" bottom="0.75" header="0.3" footer="0.3"/>
  <pageSetup paperSize="9" scale="5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lastModifiedBy>it2-hachioji08</cp:lastModifiedBy>
  <cp:revision/>
  <dcterms:created xsi:type="dcterms:W3CDTF">2024-05-23T07:44:56Z</dcterms:created>
  <dcterms:modified xsi:type="dcterms:W3CDTF">2024-06-14T01:48:20Z</dcterms:modified>
  <cp:category/>
  <cp:contentStatus/>
</cp:coreProperties>
</file>